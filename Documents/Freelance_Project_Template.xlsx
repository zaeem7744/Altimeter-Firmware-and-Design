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tables/table1.xml" ContentType="application/vnd.openxmlformats-officedocument.spreadsheetml.table+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featurePropertyBag/featurePropertyBag.xml" ContentType="application/vnd.ms-excel.featurepropertyba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codeName="ThisWorkbook"/>
  <mc:AlternateContent xmlns:mc="http://schemas.openxmlformats.org/markup-compatibility/2006">
    <mc:Choice Requires="x15">
      <x15ac:absPath xmlns:x15ac="http://schemas.microsoft.com/office/spreadsheetml/2010/11/ac" url="D:\Projects\Altimeter Firmware and Design\Documents\"/>
    </mc:Choice>
  </mc:AlternateContent>
  <bookViews>
    <workbookView xWindow="0" yWindow="0" windowWidth="7470" windowHeight="2805" tabRatio="683"/>
  </bookViews>
  <sheets>
    <sheet name="Altimeter" sheetId="1" r:id="rId1"/>
    <sheet name="Component List" sheetId="2" r:id="rId2"/>
    <sheet name="Additional Project Information" sheetId="3" r:id="rId3"/>
  </sheets>
  <definedNames>
    <definedName name="_xlnm.Print_Area" localSheetId="0">Altimeter!$A$86:$F$105</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8" i="2" l="1"/>
  <c r="H6" i="2"/>
  <c r="F65" i="1" l="1"/>
  <c r="H3" i="2" l="1"/>
  <c r="H4" i="2"/>
  <c r="H5" i="2"/>
  <c r="H2" i="2"/>
  <c r="F72" i="1" l="1"/>
  <c r="F71" i="1"/>
  <c r="F70" i="1"/>
  <c r="F69" i="1"/>
  <c r="F68" i="1"/>
  <c r="F67" i="1"/>
  <c r="F66" i="1"/>
  <c r="B78" i="1"/>
  <c r="B79" i="1"/>
  <c r="B80" i="1"/>
  <c r="B81" i="1"/>
  <c r="E83" i="1"/>
  <c r="F73" i="1" l="1"/>
  <c r="D82" i="1" s="1"/>
  <c r="F82" i="1" s="1"/>
  <c r="F61" i="1"/>
  <c r="C81" i="1" s="1"/>
  <c r="D81" i="1" s="1"/>
  <c r="F81" i="1" s="1"/>
  <c r="D43" i="1"/>
  <c r="C80" i="1" s="1"/>
  <c r="D80" i="1" s="1"/>
  <c r="F80" i="1" s="1"/>
  <c r="D33" i="1"/>
  <c r="C79" i="1" s="1"/>
  <c r="D79" i="1" s="1"/>
  <c r="F79" i="1" s="1"/>
  <c r="D26" i="1"/>
  <c r="C78" i="1" s="1"/>
  <c r="D78" i="1" s="1"/>
  <c r="C83" i="1" l="1"/>
  <c r="D83" i="1"/>
  <c r="F78" i="1" l="1"/>
  <c r="F83" i="1" s="1"/>
</calcChain>
</file>

<file path=xl/sharedStrings.xml><?xml version="1.0" encoding="utf-8"?>
<sst xmlns="http://schemas.openxmlformats.org/spreadsheetml/2006/main" count="177" uniqueCount="150">
  <si>
    <t>M. Zaeem | Electronics &amp; Embedded Systems Engineer | BSc Electrical Engineering | MSc Autonomous Systems</t>
  </si>
  <si>
    <t>1. Project Basic Information</t>
  </si>
  <si>
    <t>Project Name:</t>
  </si>
  <si>
    <t>Client Name:</t>
  </si>
  <si>
    <t>Start Date:</t>
  </si>
  <si>
    <t>Expected End Date:</t>
  </si>
  <si>
    <t>Pricing Model:</t>
  </si>
  <si>
    <t>Fixed Price</t>
  </si>
  <si>
    <t xml:space="preserve">Hourly Rate </t>
  </si>
  <si>
    <t>Hourly Rate Per Hour ($):</t>
  </si>
  <si>
    <t>Total Project Budget:</t>
  </si>
  <si>
    <t>Payment by Milestone:</t>
  </si>
  <si>
    <t>2. Project Requirements</t>
  </si>
  <si>
    <t xml:space="preserve">3. Project Milestones </t>
  </si>
  <si>
    <t>Milestone 1</t>
  </si>
  <si>
    <t>Task Requirements</t>
  </si>
  <si>
    <t xml:space="preserve">Hours Spent </t>
  </si>
  <si>
    <t>Description</t>
  </si>
  <si>
    <t>Status</t>
  </si>
  <si>
    <t xml:space="preserve">Milestone 1 Hours : </t>
  </si>
  <si>
    <t>Milestone 2</t>
  </si>
  <si>
    <t xml:space="preserve">Milestone 2 Hours : </t>
  </si>
  <si>
    <t>Milestone 3</t>
  </si>
  <si>
    <t xml:space="preserve">Milestone 3 Hours : </t>
  </si>
  <si>
    <t>4. Key Deliverables</t>
  </si>
  <si>
    <t xml:space="preserve">Additional Requirements </t>
  </si>
  <si>
    <t xml:space="preserve"> Project End Goal and Approval Criteria</t>
  </si>
  <si>
    <t>Sensor Selection</t>
  </si>
  <si>
    <t>Hardware</t>
  </si>
  <si>
    <t>All hardware components functioning to specification
Software meets All requirements with no critical bugs
Client signs off on final deliverables</t>
  </si>
  <si>
    <t>Firmware Development</t>
  </si>
  <si>
    <t>Schematic Drawing</t>
  </si>
  <si>
    <t>PCB Layout</t>
  </si>
  <si>
    <t>Gerber Files</t>
  </si>
  <si>
    <t>Bill of Materials (BOM)</t>
  </si>
  <si>
    <t>Software</t>
  </si>
  <si>
    <t>Design</t>
  </si>
  <si>
    <t>PCB Fabrication Ordering</t>
  </si>
  <si>
    <t>User interface</t>
  </si>
  <si>
    <t>PCB Assembly (soldering components)</t>
  </si>
  <si>
    <t>Data processing</t>
  </si>
  <si>
    <t>Board Testing</t>
  </si>
  <si>
    <t>Communication protocols</t>
  </si>
  <si>
    <t>3D Enclosure Design</t>
  </si>
  <si>
    <t>Error handling</t>
  </si>
  <si>
    <t>Task Description</t>
  </si>
  <si>
    <t>Hourly Payments</t>
  </si>
  <si>
    <t>Task / Milestone</t>
  </si>
  <si>
    <t>Hours Worked</t>
  </si>
  <si>
    <t>Extra Tasks (Unallocated)</t>
  </si>
  <si>
    <t>Total Amount:</t>
  </si>
  <si>
    <r>
      <t xml:space="preserve">Thank you for choosing to work with me. I truly appreciate your trust, and I’ll do my best to bring your idea to life with precision, dedication, and transparency. This spreadsheet has been created to provide a clear overview of project scope, progress, and costs, ensuring full visibility at every step.
</t>
    </r>
    <r>
      <rPr>
        <b/>
        <sz val="11"/>
        <color rgb="FF000000"/>
        <rFont val="Cambria"/>
        <family val="1"/>
        <scheme val="major"/>
      </rPr>
      <t xml:space="preserve">Please Note:
</t>
    </r>
    <r>
      <rPr>
        <sz val="11"/>
        <color rgb="FF000000"/>
        <rFont val="Cambria"/>
        <family val="1"/>
        <scheme val="major"/>
      </rPr>
      <t>The quotation provided does not include external expenses such as:
- Component sourcing (AliExpress, Digi-Key, etc.)
- PCB fabrication or assembly services (e.g., JLCPCB, PCBWay)
- Import duties, VAT, or customs clearance fees
- Packaging or shipping of prototypes
- Specialized tooling or any outsourced service costs
- These costs will be discussed and billed separately if required during the project.
Looking forward to building something great together  from concept to completion, I'm here as your technical partner.
Warm regards,
M. Zaeem
Electronics &amp; Embedded Systems Engineer</t>
    </r>
  </si>
  <si>
    <t>Item / Description</t>
  </si>
  <si>
    <t>Category</t>
  </si>
  <si>
    <t>Notes</t>
  </si>
  <si>
    <t>Units</t>
  </si>
  <si>
    <t>PCB Fabrication (JLCPCB)</t>
  </si>
  <si>
    <t>Fabrication</t>
  </si>
  <si>
    <t>Customs VAT</t>
  </si>
  <si>
    <t>Customs/Tax</t>
  </si>
  <si>
    <t>Enclosure Printing</t>
  </si>
  <si>
    <t>Outsourcing</t>
  </si>
  <si>
    <t>PCB Assembly</t>
  </si>
  <si>
    <t>Assembly Service</t>
  </si>
  <si>
    <t>Components</t>
  </si>
  <si>
    <t>Components LCSC</t>
  </si>
  <si>
    <t>Unit Testing Labor</t>
  </si>
  <si>
    <t>Testing</t>
  </si>
  <si>
    <t>Delivery to Client</t>
  </si>
  <si>
    <t>Logistics</t>
  </si>
  <si>
    <t xml:space="preserve">Others </t>
  </si>
  <si>
    <t>Total Cost:</t>
  </si>
  <si>
    <t>Additional Expenses</t>
  </si>
  <si>
    <t>Hours:</t>
  </si>
  <si>
    <t xml:space="preserve">Nil </t>
  </si>
  <si>
    <t>Nil</t>
  </si>
  <si>
    <t>5. Unallocated Task Time Tracking</t>
  </si>
  <si>
    <t>6. Additional Expenses :</t>
  </si>
  <si>
    <t>7. Payment Section</t>
  </si>
  <si>
    <t>Component Name</t>
  </si>
  <si>
    <t>Description / Use</t>
  </si>
  <si>
    <t>Quantity</t>
  </si>
  <si>
    <t>Sr. No</t>
  </si>
  <si>
    <t>Not shipped is red</t>
  </si>
  <si>
    <t>Shipped is yellow</t>
  </si>
  <si>
    <t>Arrived is green</t>
  </si>
  <si>
    <t>Variant</t>
  </si>
  <si>
    <t xml:space="preserve">Aproximate Bill of Materials = </t>
  </si>
  <si>
    <t>Chris Flanigan</t>
  </si>
  <si>
    <t>Project Dashboard -Altimeter Board</t>
  </si>
  <si>
    <t>Altimeter Board (To record altitude and acceleration)</t>
  </si>
  <si>
    <t>Max Board Size (17.5 mm × 30 mm)</t>
  </si>
  <si>
    <t>Target Weight ≤ 2.5 grams</t>
  </si>
  <si>
    <t>Powered by LiPo battery, 3.7 V</t>
  </si>
  <si>
    <t>USB-C connector</t>
  </si>
  <si>
    <t>Arduino IDE Compatable</t>
  </si>
  <si>
    <t xml:space="preserve">EEPROM Data Storage </t>
  </si>
  <si>
    <t>Bluetooth For Data Transfer.</t>
  </si>
  <si>
    <t xml:space="preserve">Define system architecture and finalize MCU selection </t>
  </si>
  <si>
    <t>Identify and validate sensors</t>
  </si>
  <si>
    <t>Feasibility analysis of components and connectivity</t>
  </si>
  <si>
    <t>Order pre-assembled modules</t>
  </si>
  <si>
    <t>Develop basic Arduino firmware for sensor interfacing.</t>
  </si>
  <si>
    <t>Data Acquisition &amp; Storage Implementation</t>
  </si>
  <si>
    <t>Integrate sensors with MCU and implement non-volatile memory logging</t>
  </si>
  <si>
    <t>Develop Python-based ground station interface for data retrieval via BLE</t>
  </si>
  <si>
    <t>Perform functional verification of sensor readout and data logging</t>
  </si>
  <si>
    <t>Benchmark and validate data integrity and transfer reliability</t>
  </si>
  <si>
    <t>Implement X-Y plotting of data using Graph.</t>
  </si>
  <si>
    <t>PCB layout (Altium)</t>
  </si>
  <si>
    <t>Making detailed schematic diagram (Altium)</t>
  </si>
  <si>
    <t>Generate Gerber files and assembly documentation</t>
  </si>
  <si>
    <t>Milestone 1- (Hardware selection, component validation, preliminary system design)</t>
  </si>
  <si>
    <t>Milestone 2- (Sensor integration, firmware development, ground station interface)</t>
  </si>
  <si>
    <t>Milestone 3- (PCB design, fabrication prep, final delivery)</t>
  </si>
  <si>
    <t>System Architecture &amp; Component Selection</t>
  </si>
  <si>
    <t>PCB Design &amp;  BOM</t>
  </si>
  <si>
    <t>Cost per Unit (€)</t>
  </si>
  <si>
    <t>Total (€)</t>
  </si>
  <si>
    <t>Amount (€)</t>
  </si>
  <si>
    <t>Remaining (€)</t>
  </si>
  <si>
    <t>Paid (€)</t>
  </si>
  <si>
    <t>Rate (€/hr)</t>
  </si>
  <si>
    <t>Completed</t>
  </si>
  <si>
    <t>Additional Project Information</t>
  </si>
  <si>
    <t>LSM6DSO32 6-DOF Accelerometer Adafruit</t>
  </si>
  <si>
    <t xml:space="preserve">nRF52840 Module with Antenna </t>
  </si>
  <si>
    <t>BMP390 Precision Barometric Sensor Adafruit</t>
  </si>
  <si>
    <t>Nano 33 BLE Rev2 Arduino</t>
  </si>
  <si>
    <t>Measures acceleration and rotation.</t>
  </si>
  <si>
    <t>Measures altitude via pressure.</t>
  </si>
  <si>
    <t>Microcontroller for prototyping.</t>
  </si>
  <si>
    <t>Bluetooth wireless module for for prototyping.</t>
  </si>
  <si>
    <t>1528-4692-ND</t>
  </si>
  <si>
    <t>1528-4816-ND</t>
  </si>
  <si>
    <t>672-NINA-B306-01BCT-ND</t>
  </si>
  <si>
    <t>1050-ABX00071-ND</t>
  </si>
  <si>
    <t>Link to Cart</t>
  </si>
  <si>
    <t>https://www.digikey.fi/short/0h7tf7fn</t>
  </si>
  <si>
    <t>Total Price (Euro)</t>
  </si>
  <si>
    <t>Unit Price</t>
  </si>
  <si>
    <t>1597-113991054-ND</t>
  </si>
  <si>
    <t>Seeed Studio XIAO ESP32C3</t>
  </si>
  <si>
    <t>Backup Option Microcontroller for prototyping.</t>
  </si>
  <si>
    <t>Pending</t>
  </si>
  <si>
    <t>Ordering PCBS</t>
  </si>
  <si>
    <t>Uploading Firmware and Bootloader</t>
  </si>
  <si>
    <t xml:space="preserve">Testing and Pakaging </t>
  </si>
  <si>
    <t>Shipping to Client</t>
  </si>
  <si>
    <t>In Progress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</si>
</sst>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quot;$&quot;#,##0.00"/>
    <numFmt numFmtId="165" formatCode="[$€-2]\ #,##0.00"/>
  </numFmts>
  <fonts count="21" x14ac:knownFonts="1">
    <font>
      <sz val="11"/>
      <color theme="1"/>
      <name val="Calibri"/>
      <family val="2"/>
      <scheme val="minor"/>
    </font>
    <font>
      <sz val="11"/>
      <color theme="1"/>
      <name val="Cambria"/>
      <family val="1"/>
    </font>
    <font>
      <i/>
      <sz val="11"/>
      <color rgb="FF7F8C8D"/>
      <name val="Cambria"/>
      <family val="1"/>
      <scheme val="major"/>
    </font>
    <font>
      <b/>
      <sz val="12"/>
      <color theme="0"/>
      <name val="Cambria"/>
      <family val="1"/>
      <scheme val="major"/>
    </font>
    <font>
      <b/>
      <sz val="11"/>
      <name val="Cambria"/>
      <family val="1"/>
      <scheme val="major"/>
    </font>
    <font>
      <sz val="11"/>
      <name val="Cambria"/>
      <family val="1"/>
      <scheme val="major"/>
    </font>
    <font>
      <b/>
      <sz val="11"/>
      <color theme="1"/>
      <name val="Cambria"/>
      <family val="1"/>
      <scheme val="major"/>
    </font>
    <font>
      <sz val="11"/>
      <color theme="1"/>
      <name val="Cambria"/>
      <family val="1"/>
      <scheme val="major"/>
    </font>
    <font>
      <b/>
      <sz val="11"/>
      <color rgb="FF000000"/>
      <name val="Cambria"/>
      <family val="1"/>
      <scheme val="major"/>
    </font>
    <font>
      <b/>
      <sz val="11"/>
      <color rgb="FF1D4ED8"/>
      <name val="Cambria"/>
      <family val="1"/>
      <scheme val="major"/>
    </font>
    <font>
      <b/>
      <sz val="11"/>
      <color theme="0"/>
      <name val="Cambria"/>
      <family val="1"/>
      <scheme val="major"/>
    </font>
    <font>
      <sz val="11"/>
      <color theme="0"/>
      <name val="Cambria"/>
      <family val="1"/>
      <scheme val="major"/>
    </font>
    <font>
      <b/>
      <sz val="12"/>
      <color theme="1"/>
      <name val="Cambria"/>
      <family val="1"/>
      <scheme val="major"/>
    </font>
    <font>
      <sz val="11"/>
      <color rgb="FF000000"/>
      <name val="Cambria"/>
      <family val="1"/>
      <scheme val="major"/>
    </font>
    <font>
      <sz val="11"/>
      <color rgb="FF1D4ED8"/>
      <name val="Cambria"/>
      <family val="1"/>
      <scheme val="major"/>
    </font>
    <font>
      <b/>
      <sz val="11"/>
      <color rgb="FFFFFFFF"/>
      <name val="Cambria"/>
      <family val="1"/>
      <scheme val="major"/>
    </font>
    <font>
      <b/>
      <sz val="11"/>
      <color theme="1"/>
      <name val="Calibri"/>
      <family val="2"/>
      <scheme val="minor"/>
    </font>
    <font>
      <u/>
      <sz val="11"/>
      <color theme="10"/>
      <name val="Calibri"/>
      <family val="2"/>
      <scheme val="minor"/>
    </font>
    <font>
      <b/>
      <sz val="11"/>
      <color theme="7"/>
      <name val="Cambria"/>
      <family val="1"/>
      <scheme val="major"/>
    </font>
    <font>
      <sz val="10"/>
      <color theme="1"/>
      <name val="Arial"/>
      <family val="2"/>
    </font>
    <font>
      <b/>
      <sz val="16"/>
      <color theme="0"/>
      <name val="Calibri"/>
      <family val="2"/>
      <scheme val="minor"/>
    </font>
  </fonts>
  <fills count="7">
    <fill>
      <patternFill patternType="none"/>
    </fill>
    <fill>
      <patternFill patternType="gray125"/>
    </fill>
    <fill>
      <patternFill patternType="solid">
        <fgColor theme="0"/>
        <bgColor indexed="64"/>
      </patternFill>
    </fill>
    <fill>
      <patternFill patternType="solid">
        <fgColor rgb="FFFF0000"/>
        <bgColor indexed="64"/>
      </patternFill>
    </fill>
    <fill>
      <patternFill patternType="solid">
        <fgColor rgb="FFFFFF00"/>
        <bgColor indexed="64"/>
      </patternFill>
    </fill>
    <fill>
      <patternFill patternType="solid">
        <fgColor theme="7"/>
        <bgColor indexed="64"/>
      </patternFill>
    </fill>
    <fill>
      <patternFill patternType="solid">
        <fgColor rgb="FF34A853"/>
        <bgColor indexed="64"/>
      </patternFill>
    </fill>
  </fills>
  <borders count="43">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bottom/>
      <diagonal/>
    </border>
    <border>
      <left style="thin">
        <color rgb="FF000000"/>
      </left>
      <right style="thin">
        <color rgb="FF000000"/>
      </right>
      <top/>
      <bottom/>
      <diagonal/>
    </border>
    <border>
      <left style="thin">
        <color indexed="64"/>
      </left>
      <right/>
      <top style="thin">
        <color indexed="64"/>
      </top>
      <bottom style="thin">
        <color rgb="FF000000"/>
      </bottom>
      <diagonal/>
    </border>
    <border>
      <left/>
      <right/>
      <top style="thin">
        <color indexed="64"/>
      </top>
      <bottom style="thin">
        <color rgb="FF000000"/>
      </bottom>
      <diagonal/>
    </border>
    <border>
      <left/>
      <right style="thin">
        <color indexed="64"/>
      </right>
      <top style="thin">
        <color indexed="64"/>
      </top>
      <bottom style="thin">
        <color rgb="FF000000"/>
      </bottom>
      <diagonal/>
    </border>
    <border>
      <left style="thin">
        <color indexed="64"/>
      </left>
      <right/>
      <top/>
      <bottom/>
      <diagonal/>
    </border>
    <border>
      <left/>
      <right style="thin">
        <color indexed="64"/>
      </right>
      <top/>
      <bottom/>
      <diagonal/>
    </border>
    <border>
      <left style="thin">
        <color indexed="64"/>
      </left>
      <right style="thin">
        <color rgb="FF000000"/>
      </right>
      <top style="thin">
        <color rgb="FF000000"/>
      </top>
      <bottom/>
      <diagonal/>
    </border>
    <border>
      <left/>
      <right style="thin">
        <color indexed="64"/>
      </right>
      <top style="thin">
        <color rgb="FF000000"/>
      </top>
      <bottom/>
      <diagonal/>
    </border>
    <border>
      <left style="thin">
        <color indexed="64"/>
      </left>
      <right/>
      <top style="thin">
        <color rgb="FF000000"/>
      </top>
      <bottom/>
      <diagonal/>
    </border>
    <border>
      <left style="thin">
        <color indexed="64"/>
      </left>
      <right/>
      <top/>
      <bottom style="thin">
        <color rgb="FF000000"/>
      </bottom>
      <diagonal/>
    </border>
    <border>
      <left/>
      <right style="thin">
        <color indexed="64"/>
      </right>
      <top/>
      <bottom style="thin">
        <color rgb="FF000000"/>
      </bottom>
      <diagonal/>
    </border>
    <border>
      <left style="thin">
        <color indexed="64"/>
      </left>
      <right style="thin">
        <color rgb="FF000000"/>
      </right>
      <top style="thin">
        <color rgb="FF000000"/>
      </top>
      <bottom style="thin">
        <color rgb="FF000000"/>
      </bottom>
      <diagonal/>
    </border>
    <border>
      <left style="thin">
        <color rgb="FF000000"/>
      </left>
      <right style="thin">
        <color indexed="64"/>
      </right>
      <top style="thin">
        <color rgb="FF000000"/>
      </top>
      <bottom style="thin">
        <color rgb="FF000000"/>
      </bottom>
      <diagonal/>
    </border>
    <border>
      <left style="thin">
        <color indexed="64"/>
      </left>
      <right/>
      <top style="thin">
        <color rgb="FF000000"/>
      </top>
      <bottom style="thin">
        <color rgb="FF000000"/>
      </bottom>
      <diagonal/>
    </border>
    <border>
      <left style="thin">
        <color rgb="FF000000"/>
      </left>
      <right style="thin">
        <color indexed="64"/>
      </right>
      <top/>
      <bottom style="thin">
        <color rgb="FF000000"/>
      </bottom>
      <diagonal/>
    </border>
    <border>
      <left/>
      <right style="thin">
        <color indexed="64"/>
      </right>
      <top style="thin">
        <color rgb="FF000000"/>
      </top>
      <bottom style="thin">
        <color rgb="FF000000"/>
      </bottom>
      <diagonal/>
    </border>
    <border>
      <left style="thin">
        <color indexed="64"/>
      </left>
      <right style="thin">
        <color rgb="FF000000"/>
      </right>
      <top/>
      <bottom style="thin">
        <color rgb="FF000000"/>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rgb="FF000000"/>
      </right>
      <top/>
      <bottom/>
      <diagonal/>
    </border>
    <border>
      <left style="thin">
        <color rgb="FF000000"/>
      </left>
      <right style="thin">
        <color indexed="64"/>
      </right>
      <top style="thin">
        <color rgb="FF000000"/>
      </top>
      <bottom/>
      <diagonal/>
    </border>
    <border>
      <left style="thin">
        <color indexed="64"/>
      </left>
      <right/>
      <top/>
      <bottom style="thin">
        <color indexed="64"/>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style="medium">
        <color rgb="FFCCCCCC"/>
      </left>
      <right style="medium">
        <color rgb="FFCCCCCC"/>
      </right>
      <top style="medium">
        <color rgb="FFCCCCCC"/>
      </top>
      <bottom style="medium">
        <color rgb="FFCCCCCC"/>
      </bottom>
      <diagonal/>
    </border>
    <border>
      <left style="thin">
        <color indexed="64"/>
      </left>
      <right style="thin">
        <color indexed="64"/>
      </right>
      <top/>
      <bottom/>
      <diagonal/>
    </border>
    <border>
      <left style="thin">
        <color indexed="64"/>
      </left>
      <right style="thin">
        <color indexed="64"/>
      </right>
      <top style="thin">
        <color indexed="64"/>
      </top>
      <bottom/>
      <diagonal/>
    </border>
  </borders>
  <cellStyleXfs count="2">
    <xf numFmtId="0" fontId="0" fillId="0" borderId="0"/>
    <xf numFmtId="0" fontId="17" fillId="0" borderId="0" applyNumberFormat="0" applyFill="0" applyBorder="0" applyAlignment="0" applyProtection="0"/>
  </cellStyleXfs>
  <cellXfs count="225">
    <xf numFmtId="0" fontId="0" fillId="0" borderId="0" xfId="0"/>
    <xf numFmtId="0" fontId="1" fillId="0" borderId="0" xfId="0" applyFont="1" applyBorder="1"/>
    <xf numFmtId="0" fontId="1" fillId="0" borderId="0" xfId="0" applyFont="1" applyFill="1" applyBorder="1"/>
    <xf numFmtId="0" fontId="1" fillId="0" borderId="0" xfId="0" applyFont="1" applyBorder="1" applyAlignment="1"/>
    <xf numFmtId="2" fontId="1" fillId="0" borderId="0" xfId="0" applyNumberFormat="1" applyFont="1" applyBorder="1"/>
    <xf numFmtId="0" fontId="6" fillId="2" borderId="7" xfId="0" applyFont="1" applyFill="1" applyBorder="1" applyAlignment="1">
      <alignment horizontal="center" vertical="center"/>
    </xf>
    <xf numFmtId="0" fontId="6" fillId="2" borderId="7" xfId="0" applyFont="1" applyFill="1" applyBorder="1" applyAlignment="1">
      <alignment horizontal="center" wrapText="1"/>
    </xf>
    <xf numFmtId="0" fontId="7" fillId="0" borderId="10" xfId="0" applyFont="1" applyBorder="1" applyAlignment="1">
      <alignment horizontal="center"/>
    </xf>
    <xf numFmtId="0" fontId="7" fillId="0" borderId="7" xfId="0" applyFont="1" applyBorder="1" applyAlignment="1">
      <alignment horizontal="center"/>
    </xf>
    <xf numFmtId="0" fontId="7" fillId="0" borderId="11" xfId="0" applyFont="1" applyBorder="1" applyAlignment="1">
      <alignment horizontal="center"/>
    </xf>
    <xf numFmtId="0" fontId="8" fillId="0" borderId="4" xfId="0" applyFont="1" applyBorder="1" applyAlignment="1">
      <alignment horizontal="right"/>
    </xf>
    <xf numFmtId="0" fontId="8" fillId="0" borderId="6" xfId="0" applyFont="1" applyBorder="1" applyAlignment="1">
      <alignment horizontal="right"/>
    </xf>
    <xf numFmtId="0" fontId="4" fillId="0" borderId="7" xfId="0" applyFont="1" applyFill="1" applyBorder="1" applyAlignment="1">
      <alignment vertical="center"/>
    </xf>
    <xf numFmtId="0" fontId="6" fillId="0" borderId="7" xfId="0" applyFont="1" applyBorder="1"/>
    <xf numFmtId="0" fontId="6" fillId="0" borderId="1" xfId="0" applyFont="1" applyBorder="1" applyAlignment="1">
      <alignment horizontal="center"/>
    </xf>
    <xf numFmtId="0" fontId="8" fillId="0" borderId="7" xfId="0" applyFont="1" applyBorder="1"/>
    <xf numFmtId="0" fontId="8" fillId="0" borderId="11" xfId="0" applyFont="1" applyBorder="1"/>
    <xf numFmtId="0" fontId="10" fillId="0" borderId="0" xfId="0" applyFont="1" applyFill="1" applyBorder="1"/>
    <xf numFmtId="0" fontId="6" fillId="0" borderId="0" xfId="0" applyFont="1" applyBorder="1" applyAlignment="1">
      <alignment horizontal="left" vertical="center"/>
    </xf>
    <xf numFmtId="0" fontId="4" fillId="0" borderId="0" xfId="0" applyFont="1" applyBorder="1" applyAlignment="1"/>
    <xf numFmtId="0" fontId="6" fillId="0" borderId="0" xfId="0" applyFont="1" applyBorder="1" applyAlignment="1">
      <alignment horizontal="left" vertical="center"/>
      <extLst>
        <ext xmlns:xfpb="http://schemas.microsoft.com/office/spreadsheetml/2022/featurepropertybag" uri="{C7286773-470A-42A8-94C5-96B5CB345126}">
          <xfpb:xfComplement i="0"/>
        </ext>
      </extLst>
    </xf>
    <xf numFmtId="0" fontId="7" fillId="0" borderId="0" xfId="0" applyFont="1" applyBorder="1" applyAlignment="1">
      <alignment horizontal="left"/>
      <extLst>
        <ext xmlns:xfpb="http://schemas.microsoft.com/office/spreadsheetml/2022/featurepropertybag" uri="{C7286773-470A-42A8-94C5-96B5CB345126}">
          <xfpb:xfComplement i="0"/>
        </ext>
      </extLst>
    </xf>
    <xf numFmtId="0" fontId="7" fillId="0" borderId="0" xfId="0" applyFont="1" applyBorder="1" applyAlignment="1">
      <alignment horizontal="left"/>
    </xf>
    <xf numFmtId="0" fontId="7" fillId="0" borderId="6" xfId="0" applyFont="1" applyBorder="1" applyAlignment="1">
      <alignment horizontal="center"/>
    </xf>
    <xf numFmtId="0" fontId="6" fillId="0" borderId="7" xfId="0" applyFont="1" applyBorder="1" applyAlignment="1">
      <alignment vertical="center"/>
    </xf>
    <xf numFmtId="0" fontId="6" fillId="0" borderId="7" xfId="0" applyFont="1" applyBorder="1" applyAlignment="1">
      <alignment horizontal="center" vertical="center"/>
    </xf>
    <xf numFmtId="0" fontId="6" fillId="0" borderId="2" xfId="0" applyFont="1" applyBorder="1" applyAlignment="1">
      <alignment horizontal="center" vertical="center"/>
    </xf>
    <xf numFmtId="0" fontId="7" fillId="0" borderId="7" xfId="0" applyFont="1" applyBorder="1" applyAlignment="1">
      <alignment vertical="center"/>
    </xf>
    <xf numFmtId="164" fontId="7" fillId="0" borderId="7" xfId="0" applyNumberFormat="1" applyFont="1" applyBorder="1" applyAlignment="1">
      <alignment horizontal="center" vertical="center"/>
    </xf>
    <xf numFmtId="0" fontId="7" fillId="0" borderId="2" xfId="0" applyFont="1" applyBorder="1" applyAlignment="1">
      <alignment horizontal="center" vertical="center"/>
    </xf>
    <xf numFmtId="0" fontId="7" fillId="0" borderId="6" xfId="0" applyFont="1" applyBorder="1" applyAlignment="1">
      <alignment vertical="center"/>
    </xf>
    <xf numFmtId="0" fontId="7" fillId="0" borderId="10" xfId="0" applyFont="1" applyBorder="1" applyAlignment="1">
      <alignment vertical="center"/>
    </xf>
    <xf numFmtId="164" fontId="7" fillId="0" borderId="4" xfId="0" applyNumberFormat="1" applyFont="1" applyBorder="1" applyAlignment="1">
      <alignment horizontal="center" vertical="center"/>
    </xf>
    <xf numFmtId="0" fontId="4" fillId="0" borderId="21" xfId="0" applyFont="1" applyBorder="1" applyAlignment="1"/>
    <xf numFmtId="0" fontId="4" fillId="0" borderId="17" xfId="0" applyFont="1" applyBorder="1" applyAlignment="1"/>
    <xf numFmtId="0" fontId="7" fillId="0" borderId="18" xfId="0" applyFont="1" applyBorder="1" applyAlignment="1">
      <alignment horizontal="left"/>
    </xf>
    <xf numFmtId="0" fontId="6" fillId="2" borderId="25" xfId="0" applyFont="1" applyFill="1" applyBorder="1" applyAlignment="1">
      <alignment horizontal="left"/>
    </xf>
    <xf numFmtId="0" fontId="7" fillId="0" borderId="25" xfId="0" applyFont="1" applyBorder="1"/>
    <xf numFmtId="0" fontId="9" fillId="2" borderId="26" xfId="0" applyFont="1" applyFill="1" applyBorder="1" applyAlignment="1">
      <alignment horizontal="center" vertical="center"/>
    </xf>
    <xf numFmtId="0" fontId="5" fillId="0" borderId="26" xfId="0" applyFont="1" applyBorder="1" applyAlignment="1">
      <alignment vertical="center"/>
    </xf>
    <xf numFmtId="0" fontId="6" fillId="0" borderId="24" xfId="0" applyFont="1" applyBorder="1"/>
    <xf numFmtId="0" fontId="8" fillId="0" borderId="25" xfId="0" applyFont="1" applyBorder="1"/>
    <xf numFmtId="0" fontId="7" fillId="0" borderId="24" xfId="0" applyFont="1" applyBorder="1"/>
    <xf numFmtId="0" fontId="4" fillId="0" borderId="17" xfId="0" applyFont="1" applyBorder="1" applyAlignment="1">
      <alignment vertical="center"/>
    </xf>
    <xf numFmtId="0" fontId="6" fillId="0" borderId="24" xfId="0" applyFont="1" applyBorder="1" applyAlignment="1">
      <alignment vertical="center" wrapText="1"/>
    </xf>
    <xf numFmtId="0" fontId="6" fillId="0" borderId="25" xfId="0" applyFont="1" applyBorder="1" applyAlignment="1">
      <alignment horizontal="center" vertical="center"/>
    </xf>
    <xf numFmtId="0" fontId="7" fillId="0" borderId="24" xfId="0" applyFont="1" applyBorder="1" applyAlignment="1">
      <alignment vertical="center" wrapText="1"/>
    </xf>
    <xf numFmtId="0" fontId="7" fillId="0" borderId="24" xfId="0" applyFont="1" applyBorder="1" applyAlignment="1">
      <alignment vertical="center"/>
    </xf>
    <xf numFmtId="0" fontId="7" fillId="0" borderId="29" xfId="0" applyFont="1" applyBorder="1" applyAlignment="1">
      <alignment vertical="center" wrapText="1"/>
    </xf>
    <xf numFmtId="0" fontId="5" fillId="0" borderId="7" xfId="0" applyFont="1" applyBorder="1" applyAlignment="1">
      <alignment vertical="center"/>
    </xf>
    <xf numFmtId="0" fontId="5" fillId="0" borderId="7" xfId="0" applyFont="1" applyBorder="1" applyAlignment="1">
      <alignment horizontal="left" vertical="center"/>
      <extLst>
        <ext xmlns:xfpb="http://schemas.microsoft.com/office/spreadsheetml/2022/featurepropertybag" uri="{C7286773-470A-42A8-94C5-96B5CB345126}">
          <xfpb:xfComplement i="0"/>
        </ext>
      </extLst>
    </xf>
    <xf numFmtId="0" fontId="7" fillId="0" borderId="10" xfId="0" applyNumberFormat="1" applyFont="1" applyBorder="1" applyAlignment="1">
      <alignment horizontal="left"/>
    </xf>
    <xf numFmtId="0" fontId="7" fillId="0" borderId="31" xfId="0" applyFont="1" applyBorder="1"/>
    <xf numFmtId="0" fontId="7" fillId="0" borderId="19" xfId="0" applyFont="1" applyBorder="1"/>
    <xf numFmtId="0" fontId="7" fillId="0" borderId="13" xfId="0" applyNumberFormat="1" applyFont="1" applyBorder="1" applyAlignment="1">
      <alignment horizontal="left"/>
    </xf>
    <xf numFmtId="164" fontId="7" fillId="0" borderId="31" xfId="0" applyNumberFormat="1" applyFont="1" applyBorder="1" applyAlignment="1">
      <alignment horizontal="center"/>
    </xf>
    <xf numFmtId="0" fontId="7" fillId="0" borderId="31" xfId="0" applyNumberFormat="1" applyFont="1" applyBorder="1" applyAlignment="1">
      <alignment horizontal="left"/>
    </xf>
    <xf numFmtId="0" fontId="7" fillId="0" borderId="23" xfId="0" applyFont="1" applyBorder="1"/>
    <xf numFmtId="0" fontId="7" fillId="0" borderId="28" xfId="0" applyFont="1" applyBorder="1"/>
    <xf numFmtId="0" fontId="16" fillId="0" borderId="0" xfId="0" applyFont="1" applyBorder="1" applyAlignment="1">
      <alignment horizontal="center" vertical="center"/>
    </xf>
    <xf numFmtId="0" fontId="0" fillId="0" borderId="0" xfId="0" applyBorder="1" applyAlignment="1"/>
    <xf numFmtId="0" fontId="0" fillId="0" borderId="0" xfId="0" applyBorder="1"/>
    <xf numFmtId="0" fontId="0" fillId="0" borderId="0" xfId="0" applyBorder="1" applyAlignment="1">
      <alignment vertical="center"/>
    </xf>
    <xf numFmtId="0" fontId="7" fillId="5" borderId="10" xfId="0" applyFont="1" applyFill="1" applyBorder="1" applyAlignment="1">
      <alignment horizontal="center" vertical="center" wrapText="1"/>
    </xf>
    <xf numFmtId="0" fontId="9" fillId="5" borderId="26" xfId="0" applyFont="1" applyFill="1" applyBorder="1" applyAlignment="1">
      <alignment horizontal="center" vertical="center"/>
    </xf>
    <xf numFmtId="0" fontId="11" fillId="5" borderId="3" xfId="0" applyFont="1" applyFill="1" applyBorder="1" applyAlignment="1">
      <alignment horizontal="left" vertical="center"/>
    </xf>
    <xf numFmtId="0" fontId="15" fillId="5" borderId="21" xfId="0" applyFont="1" applyFill="1" applyBorder="1" applyAlignment="1">
      <alignment horizontal="left" vertical="center"/>
    </xf>
    <xf numFmtId="0" fontId="11" fillId="5" borderId="20" xfId="0" applyFont="1" applyFill="1" applyBorder="1" applyAlignment="1">
      <alignment horizontal="left" vertical="center"/>
    </xf>
    <xf numFmtId="49" fontId="9" fillId="5" borderId="10" xfId="0" applyNumberFormat="1" applyFont="1" applyFill="1" applyBorder="1" applyAlignment="1">
      <alignment vertical="center"/>
    </xf>
    <xf numFmtId="0" fontId="9" fillId="5" borderId="6" xfId="0" applyFont="1" applyFill="1" applyBorder="1" applyAlignment="1">
      <alignment vertical="center"/>
    </xf>
    <xf numFmtId="0" fontId="14" fillId="5" borderId="29" xfId="0" applyFont="1" applyFill="1" applyBorder="1" applyAlignment="1">
      <alignment vertical="center"/>
    </xf>
    <xf numFmtId="164" fontId="10" fillId="5" borderId="4" xfId="0" applyNumberFormat="1" applyFont="1" applyFill="1" applyBorder="1" applyAlignment="1">
      <alignment vertical="center"/>
    </xf>
    <xf numFmtId="0" fontId="10" fillId="5" borderId="7" xfId="0" applyFont="1" applyFill="1" applyBorder="1" applyAlignment="1">
      <alignment horizontal="right" vertical="center"/>
    </xf>
    <xf numFmtId="0" fontId="3" fillId="5" borderId="19" xfId="0" applyFont="1" applyFill="1" applyBorder="1" applyAlignment="1">
      <alignment horizontal="left"/>
    </xf>
    <xf numFmtId="0" fontId="11" fillId="5" borderId="2" xfId="0" applyFont="1" applyFill="1" applyBorder="1" applyAlignment="1">
      <alignment horizontal="center"/>
    </xf>
    <xf numFmtId="0" fontId="7" fillId="5" borderId="25" xfId="0" applyFont="1" applyFill="1" applyBorder="1"/>
    <xf numFmtId="0" fontId="3" fillId="5" borderId="7" xfId="0" applyFont="1" applyFill="1" applyBorder="1" applyAlignment="1">
      <alignment wrapText="1"/>
    </xf>
    <xf numFmtId="0" fontId="10" fillId="5" borderId="32" xfId="0" applyFont="1" applyFill="1" applyBorder="1"/>
    <xf numFmtId="0" fontId="10" fillId="5" borderId="13" xfId="0" applyFont="1" applyFill="1" applyBorder="1"/>
    <xf numFmtId="0" fontId="10" fillId="5" borderId="33" xfId="0" applyFont="1" applyFill="1" applyBorder="1"/>
    <xf numFmtId="0" fontId="10" fillId="5" borderId="31" xfId="0" applyFont="1" applyFill="1" applyBorder="1"/>
    <xf numFmtId="49" fontId="10" fillId="5" borderId="31" xfId="0" applyNumberFormat="1" applyFont="1" applyFill="1" applyBorder="1"/>
    <xf numFmtId="0" fontId="19" fillId="3" borderId="40" xfId="0" applyFont="1" applyFill="1" applyBorder="1" applyAlignment="1">
      <alignment wrapText="1"/>
    </xf>
    <xf numFmtId="0" fontId="19" fillId="4" borderId="40" xfId="0" applyFont="1" applyFill="1" applyBorder="1" applyAlignment="1">
      <alignment wrapText="1"/>
    </xf>
    <xf numFmtId="0" fontId="19" fillId="6" borderId="40" xfId="0" applyFont="1" applyFill="1" applyBorder="1" applyAlignment="1">
      <alignment wrapText="1"/>
    </xf>
    <xf numFmtId="0" fontId="0" fillId="0" borderId="31" xfId="0" applyBorder="1" applyAlignment="1">
      <alignment vertical="center" wrapText="1"/>
    </xf>
    <xf numFmtId="0" fontId="0" fillId="0" borderId="0" xfId="0" applyAlignment="1">
      <alignment vertical="center" wrapText="1"/>
    </xf>
    <xf numFmtId="0" fontId="16" fillId="0" borderId="0" xfId="0" applyFont="1" applyAlignment="1">
      <alignment horizontal="center" vertical="center" wrapText="1"/>
    </xf>
    <xf numFmtId="0" fontId="16" fillId="0" borderId="41" xfId="0" applyFont="1" applyBorder="1" applyAlignment="1">
      <alignment horizontal="left" vertical="center"/>
    </xf>
    <xf numFmtId="0" fontId="0" fillId="0" borderId="39" xfId="0" applyBorder="1" applyAlignment="1">
      <alignment horizontal="right" vertical="center"/>
    </xf>
    <xf numFmtId="0" fontId="0" fillId="0" borderId="0" xfId="0" applyBorder="1" applyAlignment="1">
      <alignment horizontal="right"/>
    </xf>
    <xf numFmtId="0" fontId="0" fillId="0" borderId="31" xfId="0" applyFont="1" applyBorder="1" applyAlignment="1">
      <alignment horizontal="left" vertical="top" wrapText="1"/>
    </xf>
    <xf numFmtId="0" fontId="17" fillId="0" borderId="0" xfId="1"/>
    <xf numFmtId="164" fontId="16" fillId="0" borderId="17" xfId="0" applyNumberFormat="1" applyFont="1" applyBorder="1" applyAlignment="1">
      <alignment horizontal="left" vertical="center"/>
    </xf>
    <xf numFmtId="164" fontId="0" fillId="0" borderId="0" xfId="0" applyNumberFormat="1" applyBorder="1"/>
    <xf numFmtId="165" fontId="5" fillId="0" borderId="18" xfId="0" applyNumberFormat="1" applyFont="1" applyBorder="1" applyAlignment="1">
      <alignment horizontal="center"/>
    </xf>
    <xf numFmtId="0" fontId="6" fillId="2" borderId="31" xfId="0" applyFont="1" applyFill="1" applyBorder="1" applyAlignment="1">
      <alignment horizontal="center"/>
    </xf>
    <xf numFmtId="0" fontId="3" fillId="5" borderId="3" xfId="0" applyFont="1" applyFill="1" applyBorder="1" applyAlignment="1">
      <alignment horizontal="left"/>
    </xf>
    <xf numFmtId="0" fontId="3" fillId="5" borderId="26" xfId="0" applyFont="1" applyFill="1" applyBorder="1" applyAlignment="1">
      <alignment horizontal="left"/>
    </xf>
    <xf numFmtId="0" fontId="4" fillId="0" borderId="1" xfId="0" applyFont="1" applyFill="1" applyBorder="1" applyAlignment="1">
      <alignment vertical="center"/>
    </xf>
    <xf numFmtId="0" fontId="5" fillId="0" borderId="1" xfId="0" applyFont="1" applyBorder="1" applyAlignment="1">
      <alignment vertical="center"/>
    </xf>
    <xf numFmtId="0" fontId="7" fillId="0" borderId="10" xfId="0" applyFont="1" applyBorder="1" applyAlignment="1">
      <alignment horizontal="center" vertical="center" wrapText="1"/>
    </xf>
    <xf numFmtId="165" fontId="7" fillId="0" borderId="25" xfId="0" applyNumberFormat="1" applyFont="1" applyBorder="1" applyAlignment="1">
      <alignment horizontal="center" vertical="center"/>
    </xf>
    <xf numFmtId="165" fontId="10" fillId="5" borderId="28" xfId="0" applyNumberFormat="1" applyFont="1" applyFill="1" applyBorder="1" applyAlignment="1">
      <alignment vertical="center"/>
    </xf>
    <xf numFmtId="165" fontId="7" fillId="0" borderId="23" xfId="0" applyNumberFormat="1" applyFont="1" applyBorder="1"/>
    <xf numFmtId="165" fontId="7" fillId="0" borderId="18" xfId="0" applyNumberFormat="1" applyFont="1" applyBorder="1"/>
    <xf numFmtId="165" fontId="7" fillId="0" borderId="31" xfId="0" applyNumberFormat="1" applyFont="1" applyBorder="1"/>
    <xf numFmtId="165" fontId="10" fillId="5" borderId="31" xfId="0" applyNumberFormat="1" applyFont="1" applyFill="1" applyBorder="1"/>
    <xf numFmtId="165" fontId="7" fillId="0" borderId="4" xfId="0" applyNumberFormat="1" applyFont="1" applyBorder="1"/>
    <xf numFmtId="165" fontId="7" fillId="0" borderId="7" xfId="0" applyNumberFormat="1" applyFont="1" applyBorder="1"/>
    <xf numFmtId="165" fontId="7" fillId="0" borderId="12" xfId="0" applyNumberFormat="1" applyFont="1" applyBorder="1"/>
    <xf numFmtId="165" fontId="7" fillId="0" borderId="7" xfId="0" applyNumberFormat="1" applyFont="1" applyBorder="1" applyAlignment="1">
      <alignment horizontal="center"/>
    </xf>
    <xf numFmtId="165" fontId="7" fillId="0" borderId="11" xfId="0" applyNumberFormat="1" applyFont="1" applyBorder="1" applyAlignment="1">
      <alignment horizontal="center"/>
    </xf>
    <xf numFmtId="165" fontId="7" fillId="0" borderId="31" xfId="0" applyNumberFormat="1" applyFont="1" applyBorder="1" applyAlignment="1">
      <alignment horizontal="center"/>
    </xf>
    <xf numFmtId="0" fontId="7" fillId="0" borderId="27" xfId="0" applyFont="1" applyBorder="1" applyAlignment="1">
      <alignment horizontal="center"/>
    </xf>
    <xf numFmtId="0" fontId="5" fillId="0" borderId="0" xfId="0" applyFont="1" applyBorder="1" applyAlignment="1">
      <alignment vertical="center" wrapText="1"/>
    </xf>
    <xf numFmtId="0" fontId="16" fillId="0" borderId="30" xfId="0" applyFont="1" applyBorder="1" applyAlignment="1">
      <alignment horizontal="right" vertical="center" wrapText="1"/>
    </xf>
    <xf numFmtId="0" fontId="16" fillId="0" borderId="41" xfId="0" applyFont="1" applyBorder="1" applyAlignment="1">
      <alignment horizontal="center" vertical="center" wrapText="1"/>
    </xf>
    <xf numFmtId="165" fontId="0" fillId="0" borderId="31" xfId="0" applyNumberFormat="1" applyBorder="1" applyAlignment="1">
      <alignment vertical="center"/>
    </xf>
    <xf numFmtId="0" fontId="16" fillId="0" borderId="41" xfId="0" applyFont="1" applyBorder="1" applyAlignment="1">
      <alignment horizontal="center" vertical="center"/>
    </xf>
    <xf numFmtId="0" fontId="0" fillId="0" borderId="42" xfId="0" applyBorder="1" applyAlignment="1">
      <alignment horizontal="left" vertical="top" wrapText="1"/>
    </xf>
    <xf numFmtId="0" fontId="0" fillId="0" borderId="42" xfId="0" applyBorder="1" applyAlignment="1">
      <alignment vertical="center" wrapText="1"/>
    </xf>
    <xf numFmtId="165" fontId="0" fillId="0" borderId="42" xfId="0" applyNumberFormat="1" applyBorder="1" applyAlignment="1">
      <alignment vertical="center"/>
    </xf>
    <xf numFmtId="0" fontId="10" fillId="0" borderId="17" xfId="0" applyFont="1" applyFill="1" applyBorder="1"/>
    <xf numFmtId="0" fontId="10" fillId="0" borderId="18" xfId="0" applyFont="1" applyFill="1" applyBorder="1"/>
    <xf numFmtId="0" fontId="7" fillId="0" borderId="1" xfId="0" applyFont="1" applyBorder="1" applyAlignment="1">
      <alignment horizontal="left"/>
    </xf>
    <xf numFmtId="0" fontId="7" fillId="0" borderId="2" xfId="0" applyFont="1" applyBorder="1" applyAlignment="1">
      <alignment horizontal="left"/>
    </xf>
    <xf numFmtId="0" fontId="1" fillId="0" borderId="1" xfId="0" applyFont="1" applyBorder="1" applyAlignment="1">
      <alignment horizontal="left"/>
    </xf>
    <xf numFmtId="0" fontId="1" fillId="0" borderId="2" xfId="0" applyFont="1" applyBorder="1" applyAlignment="1">
      <alignment horizontal="left"/>
    </xf>
    <xf numFmtId="0" fontId="18" fillId="2" borderId="24" xfId="0" applyFont="1" applyFill="1" applyBorder="1" applyAlignment="1">
      <alignment horizontal="center" vertical="center" wrapText="1"/>
    </xf>
    <xf numFmtId="0" fontId="6" fillId="2" borderId="1" xfId="0" applyFont="1" applyFill="1" applyBorder="1" applyAlignment="1"/>
    <xf numFmtId="0" fontId="6" fillId="2" borderId="2" xfId="0" applyFont="1" applyFill="1" applyBorder="1" applyAlignment="1"/>
    <xf numFmtId="0" fontId="7" fillId="0" borderId="1" xfId="0" applyFont="1" applyBorder="1" applyAlignment="1"/>
    <xf numFmtId="0" fontId="7" fillId="0" borderId="2" xfId="0" applyFont="1" applyBorder="1" applyAlignment="1"/>
    <xf numFmtId="0" fontId="3" fillId="5" borderId="9" xfId="0" applyFont="1" applyFill="1" applyBorder="1" applyAlignment="1">
      <alignment horizontal="center"/>
    </xf>
    <xf numFmtId="0" fontId="3" fillId="5" borderId="3" xfId="0" applyFont="1" applyFill="1" applyBorder="1" applyAlignment="1">
      <alignment horizontal="center"/>
    </xf>
    <xf numFmtId="0" fontId="3" fillId="5" borderId="20" xfId="0" applyFont="1" applyFill="1" applyBorder="1" applyAlignment="1">
      <alignment horizontal="center"/>
    </xf>
    <xf numFmtId="0" fontId="2" fillId="0" borderId="17" xfId="0" applyFont="1" applyBorder="1" applyAlignment="1">
      <alignment horizontal="left" vertical="center" wrapText="1"/>
    </xf>
    <xf numFmtId="0" fontId="2" fillId="0" borderId="0" xfId="0" applyFont="1" applyBorder="1" applyAlignment="1">
      <alignment horizontal="left" vertical="center" wrapText="1"/>
    </xf>
    <xf numFmtId="0" fontId="2" fillId="0" borderId="18" xfId="0" applyFont="1" applyBorder="1" applyAlignment="1">
      <alignment horizontal="left" vertical="center" wrapText="1"/>
    </xf>
    <xf numFmtId="0" fontId="7" fillId="0" borderId="22" xfId="0" applyFont="1" applyBorder="1" applyAlignment="1">
      <alignment horizontal="center"/>
    </xf>
    <xf numFmtId="0" fontId="7" fillId="0" borderId="5" xfId="0" applyFont="1" applyBorder="1" applyAlignment="1">
      <alignment horizontal="center"/>
    </xf>
    <xf numFmtId="0" fontId="7" fillId="0" borderId="23" xfId="0" applyFont="1" applyBorder="1" applyAlignment="1">
      <alignment horizontal="center"/>
    </xf>
    <xf numFmtId="0" fontId="3" fillId="5" borderId="3" xfId="0" applyFont="1" applyFill="1" applyBorder="1" applyAlignment="1">
      <alignment horizontal="left"/>
    </xf>
    <xf numFmtId="0" fontId="3" fillId="5" borderId="20" xfId="0" applyFont="1" applyFill="1" applyBorder="1" applyAlignment="1">
      <alignment horizontal="left"/>
    </xf>
    <xf numFmtId="165" fontId="5" fillId="0" borderId="0" xfId="0" applyNumberFormat="1" applyFont="1" applyBorder="1" applyAlignment="1">
      <alignment horizontal="left"/>
    </xf>
    <xf numFmtId="0" fontId="8" fillId="0" borderId="0" xfId="0" applyFont="1" applyBorder="1" applyAlignment="1">
      <alignment horizontal="left"/>
    </xf>
    <xf numFmtId="15" fontId="5" fillId="0" borderId="0" xfId="0" applyNumberFormat="1" applyFont="1" applyBorder="1" applyAlignment="1">
      <alignment horizontal="left"/>
    </xf>
    <xf numFmtId="0" fontId="5" fillId="0" borderId="0" xfId="0" applyFont="1" applyBorder="1" applyAlignment="1">
      <alignment horizontal="left"/>
    </xf>
    <xf numFmtId="15" fontId="5" fillId="0" borderId="0" xfId="0" applyNumberFormat="1" applyFont="1" applyBorder="1" applyAlignment="1">
      <alignment horizontal="center"/>
    </xf>
    <xf numFmtId="0" fontId="5" fillId="0" borderId="18" xfId="0" applyFont="1" applyBorder="1" applyAlignment="1">
      <alignment horizontal="center"/>
    </xf>
    <xf numFmtId="0" fontId="7" fillId="0" borderId="0" xfId="0" applyFont="1" applyBorder="1" applyAlignment="1">
      <alignment horizontal="left" vertical="center"/>
      <extLst>
        <ext xmlns:xfpb="http://schemas.microsoft.com/office/spreadsheetml/2022/featurepropertybag" uri="{C7286773-470A-42A8-94C5-96B5CB345126}">
          <xfpb:xfComplement i="0"/>
        </ext>
      </extLst>
    </xf>
    <xf numFmtId="0" fontId="7" fillId="0" borderId="18" xfId="0" applyFont="1" applyBorder="1" applyAlignment="1">
      <alignment horizontal="left" vertical="center"/>
      <extLst>
        <ext xmlns:xfpb="http://schemas.microsoft.com/office/spreadsheetml/2022/featurepropertybag" uri="{C7286773-470A-42A8-94C5-96B5CB345126}">
          <xfpb:xfComplement i="0"/>
        </ext>
      </extLst>
    </xf>
    <xf numFmtId="0" fontId="7" fillId="0" borderId="11" xfId="0" applyFont="1" applyBorder="1" applyAlignment="1">
      <alignment horizontal="center" vertical="center" wrapText="1"/>
    </xf>
    <xf numFmtId="0" fontId="7" fillId="0" borderId="13" xfId="0" applyFont="1" applyBorder="1" applyAlignment="1">
      <alignment horizontal="center" vertical="center" wrapText="1"/>
    </xf>
    <xf numFmtId="0" fontId="7" fillId="0" borderId="10" xfId="0" applyFont="1" applyBorder="1" applyAlignment="1">
      <alignment horizontal="center" vertical="center" wrapText="1"/>
    </xf>
    <xf numFmtId="0" fontId="10" fillId="5" borderId="1" xfId="0" applyFont="1" applyFill="1" applyBorder="1" applyAlignment="1">
      <alignment horizontal="right"/>
    </xf>
    <xf numFmtId="0" fontId="10" fillId="5" borderId="2" xfId="0" applyFont="1" applyFill="1" applyBorder="1" applyAlignment="1">
      <alignment horizontal="right"/>
    </xf>
    <xf numFmtId="0" fontId="3" fillId="5" borderId="14" xfId="0" applyFont="1" applyFill="1" applyBorder="1" applyAlignment="1">
      <alignment horizontal="left" vertical="center"/>
    </xf>
    <xf numFmtId="0" fontId="3" fillId="5" borderId="15" xfId="0" applyFont="1" applyFill="1" applyBorder="1" applyAlignment="1">
      <alignment horizontal="left" vertical="center"/>
    </xf>
    <xf numFmtId="0" fontId="3" fillId="5" borderId="16" xfId="0" applyFont="1" applyFill="1" applyBorder="1" applyAlignment="1">
      <alignment horizontal="left" vertical="center"/>
    </xf>
    <xf numFmtId="0" fontId="5" fillId="0" borderId="24" xfId="0" applyFont="1" applyBorder="1" applyAlignment="1">
      <alignment vertical="top" wrapText="1"/>
    </xf>
    <xf numFmtId="0" fontId="5" fillId="0" borderId="7" xfId="0" applyFont="1" applyBorder="1" applyAlignment="1">
      <alignment vertical="top"/>
    </xf>
    <xf numFmtId="0" fontId="5" fillId="0" borderId="25" xfId="0" applyFont="1" applyBorder="1" applyAlignment="1">
      <alignment vertical="top"/>
    </xf>
    <xf numFmtId="0" fontId="5" fillId="0" borderId="24" xfId="0" applyFont="1" applyBorder="1" applyAlignment="1">
      <alignment vertical="top"/>
    </xf>
    <xf numFmtId="0" fontId="3" fillId="5" borderId="22" xfId="0" applyFont="1" applyFill="1" applyBorder="1" applyAlignment="1">
      <alignment horizontal="left" wrapText="1"/>
    </xf>
    <xf numFmtId="0" fontId="3" fillId="5" borderId="5" xfId="0" applyFont="1" applyFill="1" applyBorder="1" applyAlignment="1">
      <alignment horizontal="left" wrapText="1"/>
    </xf>
    <xf numFmtId="0" fontId="3" fillId="5" borderId="23" xfId="0" applyFont="1" applyFill="1" applyBorder="1" applyAlignment="1">
      <alignment horizontal="left" wrapText="1"/>
    </xf>
    <xf numFmtId="0" fontId="5" fillId="0" borderId="3" xfId="0" applyFont="1" applyBorder="1" applyAlignment="1">
      <alignment horizontal="left"/>
    </xf>
    <xf numFmtId="0" fontId="5" fillId="0" borderId="20" xfId="0" applyFont="1" applyBorder="1" applyAlignment="1">
      <alignment horizontal="left"/>
    </xf>
    <xf numFmtId="0" fontId="5" fillId="0" borderId="18" xfId="0" applyFont="1" applyBorder="1" applyAlignment="1">
      <alignment horizontal="left"/>
    </xf>
    <xf numFmtId="0" fontId="7" fillId="0" borderId="26" xfId="0" applyFont="1" applyFill="1" applyBorder="1" applyAlignment="1">
      <alignment horizontal="center"/>
    </xf>
    <xf numFmtId="0" fontId="7" fillId="0" borderId="8" xfId="0" applyFont="1" applyFill="1" applyBorder="1" applyAlignment="1">
      <alignment horizontal="center"/>
    </xf>
    <xf numFmtId="0" fontId="7" fillId="0" borderId="28" xfId="0" applyFont="1" applyFill="1" applyBorder="1" applyAlignment="1">
      <alignment horizontal="center"/>
    </xf>
    <xf numFmtId="0" fontId="13" fillId="0" borderId="36" xfId="0" applyFont="1" applyBorder="1" applyAlignment="1">
      <alignment horizontal="left" vertical="top" wrapText="1"/>
    </xf>
    <xf numFmtId="0" fontId="13" fillId="0" borderId="37" xfId="0" applyFont="1" applyBorder="1" applyAlignment="1">
      <alignment horizontal="left" vertical="top" wrapText="1"/>
    </xf>
    <xf numFmtId="0" fontId="13" fillId="0" borderId="38" xfId="0" applyFont="1" applyBorder="1" applyAlignment="1">
      <alignment horizontal="left" vertical="top" wrapText="1"/>
    </xf>
    <xf numFmtId="0" fontId="13" fillId="0" borderId="17" xfId="0" applyFont="1" applyBorder="1" applyAlignment="1">
      <alignment horizontal="left" vertical="top" wrapText="1"/>
    </xf>
    <xf numFmtId="0" fontId="13" fillId="0" borderId="0" xfId="0" applyFont="1" applyBorder="1" applyAlignment="1">
      <alignment horizontal="left" vertical="top" wrapText="1"/>
    </xf>
    <xf numFmtId="0" fontId="13" fillId="0" borderId="18" xfId="0" applyFont="1" applyBorder="1" applyAlignment="1">
      <alignment horizontal="left" vertical="top" wrapText="1"/>
    </xf>
    <xf numFmtId="0" fontId="13" fillId="0" borderId="34" xfId="0" applyFont="1" applyBorder="1" applyAlignment="1">
      <alignment horizontal="left" vertical="top" wrapText="1"/>
    </xf>
    <xf numFmtId="0" fontId="13" fillId="0" borderId="35" xfId="0" applyFont="1" applyBorder="1" applyAlignment="1">
      <alignment horizontal="left" vertical="top" wrapText="1"/>
    </xf>
    <xf numFmtId="0" fontId="13" fillId="0" borderId="30" xfId="0" applyFont="1" applyBorder="1" applyAlignment="1">
      <alignment horizontal="left" vertical="top" wrapText="1"/>
    </xf>
    <xf numFmtId="0" fontId="3" fillId="5" borderId="26" xfId="0" applyFont="1" applyFill="1" applyBorder="1" applyAlignment="1">
      <alignment horizontal="left"/>
    </xf>
    <xf numFmtId="0" fontId="3" fillId="5" borderId="8" xfId="0" applyFont="1" applyFill="1" applyBorder="1" applyAlignment="1">
      <alignment horizontal="left"/>
    </xf>
    <xf numFmtId="0" fontId="12" fillId="0" borderId="22" xfId="0" applyFont="1" applyFill="1" applyBorder="1" applyAlignment="1">
      <alignment horizontal="center" vertical="center" wrapText="1"/>
    </xf>
    <xf numFmtId="0" fontId="12" fillId="0" borderId="5" xfId="0" applyFont="1" applyFill="1" applyBorder="1" applyAlignment="1">
      <alignment horizontal="center" vertical="center" wrapText="1"/>
    </xf>
    <xf numFmtId="0" fontId="12" fillId="0" borderId="23" xfId="0" applyFont="1" applyFill="1" applyBorder="1" applyAlignment="1">
      <alignment horizontal="center" vertical="center" wrapText="1"/>
    </xf>
    <xf numFmtId="0" fontId="3" fillId="5" borderId="21" xfId="0" applyFont="1" applyFill="1" applyBorder="1" applyAlignment="1">
      <alignment vertical="center" wrapText="1"/>
    </xf>
    <xf numFmtId="0" fontId="3" fillId="5" borderId="3" xfId="0" applyFont="1" applyFill="1" applyBorder="1" applyAlignment="1">
      <alignment vertical="center" wrapText="1"/>
    </xf>
    <xf numFmtId="0" fontId="3" fillId="5" borderId="20" xfId="0" applyFont="1" applyFill="1" applyBorder="1" applyAlignment="1">
      <alignment vertical="center" wrapText="1"/>
    </xf>
    <xf numFmtId="0" fontId="4" fillId="0" borderId="1" xfId="0" applyFont="1" applyFill="1" applyBorder="1" applyAlignment="1">
      <alignment vertical="center"/>
    </xf>
    <xf numFmtId="0" fontId="4" fillId="0" borderId="8" xfId="0" applyFont="1" applyFill="1" applyBorder="1" applyAlignment="1">
      <alignment vertical="center"/>
    </xf>
    <xf numFmtId="0" fontId="4" fillId="0" borderId="28" xfId="0" applyFont="1" applyFill="1" applyBorder="1" applyAlignment="1">
      <alignment vertical="center"/>
    </xf>
    <xf numFmtId="0" fontId="5" fillId="0" borderId="1" xfId="0" applyFont="1" applyBorder="1" applyAlignment="1">
      <alignment vertical="center"/>
    </xf>
    <xf numFmtId="0" fontId="5" fillId="0" borderId="8" xfId="0" applyFont="1" applyBorder="1" applyAlignment="1">
      <alignment vertical="center"/>
    </xf>
    <xf numFmtId="0" fontId="5" fillId="0" borderId="28" xfId="0" applyFont="1" applyBorder="1" applyAlignment="1">
      <alignment vertical="center"/>
    </xf>
    <xf numFmtId="0" fontId="3" fillId="5" borderId="3" xfId="0" applyFont="1" applyFill="1" applyBorder="1" applyAlignment="1">
      <alignment vertical="center"/>
    </xf>
    <xf numFmtId="0" fontId="3" fillId="5" borderId="20" xfId="0" applyFont="1" applyFill="1" applyBorder="1" applyAlignment="1">
      <alignment vertical="center"/>
    </xf>
    <xf numFmtId="0" fontId="5" fillId="0" borderId="9" xfId="0" applyFont="1" applyFill="1" applyBorder="1" applyAlignment="1">
      <alignment horizontal="left" vertical="top" wrapText="1"/>
    </xf>
    <xf numFmtId="0" fontId="5" fillId="0" borderId="3" xfId="0" applyFont="1" applyFill="1" applyBorder="1" applyAlignment="1">
      <alignment horizontal="left" vertical="top"/>
    </xf>
    <xf numFmtId="0" fontId="5" fillId="0" borderId="20" xfId="0" applyFont="1" applyFill="1" applyBorder="1" applyAlignment="1">
      <alignment horizontal="left" vertical="top"/>
    </xf>
    <xf numFmtId="0" fontId="5" fillId="0" borderId="12" xfId="0" applyFont="1" applyFill="1" applyBorder="1" applyAlignment="1">
      <alignment horizontal="left" vertical="top"/>
    </xf>
    <xf numFmtId="0" fontId="5" fillId="0" borderId="0" xfId="0" applyFont="1" applyFill="1" applyBorder="1" applyAlignment="1">
      <alignment horizontal="left" vertical="top"/>
    </xf>
    <xf numFmtId="0" fontId="5" fillId="0" borderId="18" xfId="0" applyFont="1" applyFill="1" applyBorder="1" applyAlignment="1">
      <alignment horizontal="left" vertical="top"/>
    </xf>
    <xf numFmtId="0" fontId="5" fillId="0" borderId="4" xfId="0" applyFont="1" applyFill="1" applyBorder="1" applyAlignment="1">
      <alignment horizontal="left" vertical="top"/>
    </xf>
    <xf numFmtId="0" fontId="5" fillId="0" borderId="5" xfId="0" applyFont="1" applyFill="1" applyBorder="1" applyAlignment="1">
      <alignment horizontal="left" vertical="top"/>
    </xf>
    <xf numFmtId="0" fontId="5" fillId="0" borderId="23" xfId="0" applyFont="1" applyFill="1" applyBorder="1" applyAlignment="1">
      <alignment horizontal="left" vertical="top"/>
    </xf>
    <xf numFmtId="0" fontId="10" fillId="0" borderId="22" xfId="0" applyFont="1" applyFill="1" applyBorder="1" applyAlignment="1">
      <alignment horizontal="center"/>
    </xf>
    <xf numFmtId="0" fontId="10" fillId="0" borderId="5" xfId="0" applyFont="1" applyFill="1" applyBorder="1" applyAlignment="1">
      <alignment horizontal="center"/>
    </xf>
    <xf numFmtId="0" fontId="10" fillId="0" borderId="23" xfId="0" applyFont="1" applyFill="1" applyBorder="1" applyAlignment="1">
      <alignment horizontal="center"/>
    </xf>
    <xf numFmtId="0" fontId="7" fillId="0" borderId="31" xfId="0" applyFont="1" applyBorder="1" applyAlignment="1"/>
    <xf numFmtId="0" fontId="10" fillId="5" borderId="4" xfId="0" applyFont="1" applyFill="1" applyBorder="1" applyAlignment="1">
      <alignment horizontal="right" wrapText="1"/>
    </xf>
    <xf numFmtId="0" fontId="10" fillId="5" borderId="5" xfId="0" applyFont="1" applyFill="1" applyBorder="1" applyAlignment="1">
      <alignment horizontal="right" wrapText="1"/>
    </xf>
    <xf numFmtId="0" fontId="10" fillId="5" borderId="6" xfId="0" applyFont="1" applyFill="1" applyBorder="1" applyAlignment="1">
      <alignment horizontal="right" wrapText="1"/>
    </xf>
    <xf numFmtId="0" fontId="6" fillId="2" borderId="31" xfId="0" applyFont="1" applyFill="1" applyBorder="1" applyAlignment="1">
      <alignment horizontal="center"/>
    </xf>
    <xf numFmtId="0" fontId="9" fillId="0" borderId="26" xfId="0" applyFont="1" applyFill="1" applyBorder="1" applyAlignment="1">
      <alignment horizontal="center" vertical="center"/>
    </xf>
    <xf numFmtId="0" fontId="9" fillId="0" borderId="8" xfId="0" applyFont="1" applyFill="1" applyBorder="1" applyAlignment="1">
      <alignment horizontal="center" vertical="center"/>
    </xf>
    <xf numFmtId="0" fontId="9" fillId="0" borderId="28" xfId="0" applyFont="1" applyFill="1" applyBorder="1" applyAlignment="1">
      <alignment horizontal="center" vertical="center"/>
    </xf>
    <xf numFmtId="0" fontId="7" fillId="0" borderId="26" xfId="0" applyFont="1" applyBorder="1" applyAlignment="1">
      <alignment horizontal="center" vertical="center"/>
    </xf>
    <xf numFmtId="0" fontId="7" fillId="0" borderId="8" xfId="0" applyFont="1" applyBorder="1" applyAlignment="1">
      <alignment horizontal="center" vertical="center"/>
    </xf>
    <xf numFmtId="0" fontId="7" fillId="0" borderId="28" xfId="0" applyFont="1" applyBorder="1" applyAlignment="1">
      <alignment horizontal="center" vertical="center"/>
    </xf>
    <xf numFmtId="165" fontId="20" fillId="5" borderId="31" xfId="0" applyNumberFormat="1" applyFont="1" applyFill="1" applyBorder="1" applyAlignment="1">
      <alignment horizontal="center" vertical="center"/>
    </xf>
    <xf numFmtId="0" fontId="20" fillId="5" borderId="31" xfId="0" applyFont="1" applyFill="1" applyBorder="1" applyAlignment="1">
      <alignment horizontal="left" vertical="center"/>
    </xf>
    <xf numFmtId="0" fontId="10" fillId="5" borderId="42" xfId="0" applyFont="1" applyFill="1" applyBorder="1" applyAlignment="1">
      <alignment horizontal="left" vertical="center" wrapText="1"/>
    </xf>
  </cellXfs>
  <cellStyles count="2">
    <cellStyle name="Hyperlink" xfId="1" builtinId="8"/>
    <cellStyle name="Normal" xfId="0" builtinId="0"/>
  </cellStyles>
  <dxfs count="12">
    <dxf>
      <numFmt numFmtId="165" formatCode="[$€-2]\ #,##0.00"/>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vertical="center" textRotation="0" wrapText="0" indent="0" justifyLastLine="0" shrinkToFit="0" readingOrder="0"/>
      <border diagonalUp="0" diagonalDown="0" outline="0">
        <left/>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dxf>
    <dxf>
      <border>
        <bottom style="thin">
          <color indexed="64"/>
        </bottom>
      </border>
    </dxf>
    <dxf>
      <alignment horizontal="left" vertical="center"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s>
  <tableStyles count="0" defaultTableStyle="TableStyleMedium9" defaultPivotStyle="PivotStyleLight16"/>
  <colors>
    <mruColors>
      <color rgb="FF1D4ED8"/>
      <color rgb="FFD6EAF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microsoft.com/office/2022/11/relationships/FeaturePropertyBag" Target="featurePropertyBag/featurePropertyBag.xml"/><Relationship Id="rId5" Type="http://schemas.openxmlformats.org/officeDocument/2006/relationships/styles" Target="styles.xml"/><Relationship Id="rId4" Type="http://schemas.openxmlformats.org/officeDocument/2006/relationships/theme" Target="theme/theme1.xml"/></Relationships>
</file>

<file path=xl/ctrlProps/ctrlProp1.xml><?xml version="1.0" encoding="utf-8"?>
<formControlPr xmlns="http://schemas.microsoft.com/office/spreadsheetml/2009/9/main" objectType="CheckBox" checked="Checked" lockText="1" noThreeD="1"/>
</file>

<file path=xl/ctrlProps/ctrlProp2.xml><?xml version="1.0" encoding="utf-8"?>
<formControlPr xmlns="http://schemas.microsoft.com/office/spreadsheetml/2009/9/main" objectType="CheckBox" checked="Checked" lockText="1" noThreeD="1"/>
</file>

<file path=xl/ctrlProps/ctrlProp3.xml><?xml version="1.0" encoding="utf-8"?>
<formControlPr xmlns="http://schemas.microsoft.com/office/spreadsheetml/2009/9/main" objectType="CheckBox" checked="Checked" lockText="1" noThreeD="1"/>
</file>

<file path=xl/ctrlProps/ctrlProp4.xml><?xml version="1.0" encoding="utf-8"?>
<formControlPr xmlns="http://schemas.microsoft.com/office/spreadsheetml/2009/9/main" objectType="CheckBox" checked="Checked" lockText="1" noThreeD="1"/>
</file>

<file path=xl/ctrlProps/ctrlProp5.xml><?xml version="1.0" encoding="utf-8"?>
<formControlPr xmlns="http://schemas.microsoft.com/office/spreadsheetml/2009/9/main" objectType="CheckBox" checked="Checked"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checked="Checked" lockText="1" noThreeD="1"/>
</file>

<file path=xl/ctrlProps/ctrlProp10.xml><?xml version="1.0" encoding="utf-8"?>
<formControlPr xmlns="http://schemas.microsoft.com/office/spreadsheetml/2009/9/main" objectType="CheckBox" checked="Checked" lockText="1" noThreeD="1"/>
</file>

<file path=xl/ctrlProps/ctrlProp11.xml><?xml version="1.0" encoding="utf-8"?>
<formControlPr xmlns="http://schemas.microsoft.com/office/spreadsheetml/2009/9/main" objectType="CheckBox" lockText="1" noThreeD="1"/>
</file>

<file path=xl/ctrlProps/ctrlProp12.xml><?xml version="1.0" encoding="utf-8"?>
<formControlPr xmlns="http://schemas.microsoft.com/office/spreadsheetml/2009/9/main" objectType="CheckBox" checked="Checked" lockText="1" noThreeD="1"/>
</file>

<file path=xl/ctrlProps/ctrlProp13.xml><?xml version="1.0" encoding="utf-8"?>
<formControlPr xmlns="http://schemas.microsoft.com/office/spreadsheetml/2009/9/main" objectType="CheckBox" lockText="1" noThreeD="1"/>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523875</xdr:colOff>
          <xdr:row>44</xdr:row>
          <xdr:rowOff>219075</xdr:rowOff>
        </xdr:from>
        <xdr:to>
          <xdr:col>2</xdr:col>
          <xdr:colOff>66675</xdr:colOff>
          <xdr:row>46</xdr:row>
          <xdr:rowOff>19050</xdr:rowOff>
        </xdr:to>
        <xdr:sp macro="" textlink="">
          <xdr:nvSpPr>
            <xdr:cNvPr id="3073" name="Check Box 1" hidden="1">
              <a:extLst>
                <a:ext uri="{63B3BB69-23CF-44E3-9099-C40C66FF867C}">
                  <a14:compatExt spid="_x0000_s3073"/>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523875</xdr:colOff>
          <xdr:row>45</xdr:row>
          <xdr:rowOff>142875</xdr:rowOff>
        </xdr:from>
        <xdr:to>
          <xdr:col>2</xdr:col>
          <xdr:colOff>57150</xdr:colOff>
          <xdr:row>47</xdr:row>
          <xdr:rowOff>9525</xdr:rowOff>
        </xdr:to>
        <xdr:sp macro="" textlink="">
          <xdr:nvSpPr>
            <xdr:cNvPr id="3074" name="Check Box 2" hidden="1">
              <a:extLst>
                <a:ext uri="{63B3BB69-23CF-44E3-9099-C40C66FF867C}">
                  <a14:compatExt spid="_x0000_s3074"/>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523875</xdr:colOff>
          <xdr:row>47</xdr:row>
          <xdr:rowOff>171450</xdr:rowOff>
        </xdr:from>
        <xdr:to>
          <xdr:col>2</xdr:col>
          <xdr:colOff>66675</xdr:colOff>
          <xdr:row>49</xdr:row>
          <xdr:rowOff>28575</xdr:rowOff>
        </xdr:to>
        <xdr:sp macro="" textlink="">
          <xdr:nvSpPr>
            <xdr:cNvPr id="3075" name="Check Box 3" hidden="1">
              <a:extLst>
                <a:ext uri="{63B3BB69-23CF-44E3-9099-C40C66FF867C}">
                  <a14:compatExt spid="_x0000_s3075"/>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523875</xdr:colOff>
          <xdr:row>48</xdr:row>
          <xdr:rowOff>152400</xdr:rowOff>
        </xdr:from>
        <xdr:to>
          <xdr:col>2</xdr:col>
          <xdr:colOff>57150</xdr:colOff>
          <xdr:row>50</xdr:row>
          <xdr:rowOff>19050</xdr:rowOff>
        </xdr:to>
        <xdr:sp macro="" textlink="">
          <xdr:nvSpPr>
            <xdr:cNvPr id="3076" name="Check Box 4" hidden="1">
              <a:extLst>
                <a:ext uri="{63B3BB69-23CF-44E3-9099-C40C66FF867C}">
                  <a14:compatExt spid="_x0000_s3076"/>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523875</xdr:colOff>
          <xdr:row>49</xdr:row>
          <xdr:rowOff>171450</xdr:rowOff>
        </xdr:from>
        <xdr:to>
          <xdr:col>2</xdr:col>
          <xdr:colOff>57150</xdr:colOff>
          <xdr:row>51</xdr:row>
          <xdr:rowOff>28575</xdr:rowOff>
        </xdr:to>
        <xdr:sp macro="" textlink="">
          <xdr:nvSpPr>
            <xdr:cNvPr id="3077" name="Check Box 5" hidden="1">
              <a:extLst>
                <a:ext uri="{63B3BB69-23CF-44E3-9099-C40C66FF867C}">
                  <a14:compatExt spid="_x0000_s3077"/>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523875</xdr:colOff>
          <xdr:row>50</xdr:row>
          <xdr:rowOff>171450</xdr:rowOff>
        </xdr:from>
        <xdr:to>
          <xdr:col>2</xdr:col>
          <xdr:colOff>57150</xdr:colOff>
          <xdr:row>52</xdr:row>
          <xdr:rowOff>28575</xdr:rowOff>
        </xdr:to>
        <xdr:sp macro="" textlink="">
          <xdr:nvSpPr>
            <xdr:cNvPr id="3078" name="Check Box 6" hidden="1">
              <a:extLst>
                <a:ext uri="{63B3BB69-23CF-44E3-9099-C40C66FF867C}">
                  <a14:compatExt spid="_x0000_s3078"/>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523875</xdr:colOff>
          <xdr:row>51</xdr:row>
          <xdr:rowOff>171450</xdr:rowOff>
        </xdr:from>
        <xdr:to>
          <xdr:col>2</xdr:col>
          <xdr:colOff>57150</xdr:colOff>
          <xdr:row>53</xdr:row>
          <xdr:rowOff>28575</xdr:rowOff>
        </xdr:to>
        <xdr:sp macro="" textlink="">
          <xdr:nvSpPr>
            <xdr:cNvPr id="3079" name="Check Box 7" hidden="1">
              <a:extLst>
                <a:ext uri="{63B3BB69-23CF-44E3-9099-C40C66FF867C}">
                  <a14:compatExt spid="_x0000_s3079"/>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533400</xdr:colOff>
          <xdr:row>52</xdr:row>
          <xdr:rowOff>161925</xdr:rowOff>
        </xdr:from>
        <xdr:to>
          <xdr:col>2</xdr:col>
          <xdr:colOff>57150</xdr:colOff>
          <xdr:row>54</xdr:row>
          <xdr:rowOff>19050</xdr:rowOff>
        </xdr:to>
        <xdr:sp macro="" textlink="">
          <xdr:nvSpPr>
            <xdr:cNvPr id="3080" name="Check Box 8" hidden="1">
              <a:extLst>
                <a:ext uri="{63B3BB69-23CF-44E3-9099-C40C66FF867C}">
                  <a14:compatExt spid="_x0000_s308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523875</xdr:colOff>
          <xdr:row>53</xdr:row>
          <xdr:rowOff>152400</xdr:rowOff>
        </xdr:from>
        <xdr:to>
          <xdr:col>2</xdr:col>
          <xdr:colOff>57150</xdr:colOff>
          <xdr:row>55</xdr:row>
          <xdr:rowOff>19050</xdr:rowOff>
        </xdr:to>
        <xdr:sp macro="" textlink="">
          <xdr:nvSpPr>
            <xdr:cNvPr id="3081" name="Check Box 9" hidden="1">
              <a:extLst>
                <a:ext uri="{63B3BB69-23CF-44E3-9099-C40C66FF867C}">
                  <a14:compatExt spid="_x0000_s3081"/>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523875</xdr:colOff>
          <xdr:row>46</xdr:row>
          <xdr:rowOff>161925</xdr:rowOff>
        </xdr:from>
        <xdr:to>
          <xdr:col>2</xdr:col>
          <xdr:colOff>66675</xdr:colOff>
          <xdr:row>48</xdr:row>
          <xdr:rowOff>19050</xdr:rowOff>
        </xdr:to>
        <xdr:sp macro="" textlink="">
          <xdr:nvSpPr>
            <xdr:cNvPr id="3082" name="Check Box 10" hidden="1">
              <a:extLst>
                <a:ext uri="{63B3BB69-23CF-44E3-9099-C40C66FF867C}">
                  <a14:compatExt spid="_x0000_s3082"/>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809625</xdr:colOff>
          <xdr:row>7</xdr:row>
          <xdr:rowOff>9525</xdr:rowOff>
        </xdr:from>
        <xdr:to>
          <xdr:col>1</xdr:col>
          <xdr:colOff>971550</xdr:colOff>
          <xdr:row>8</xdr:row>
          <xdr:rowOff>9525</xdr:rowOff>
        </xdr:to>
        <xdr:sp macro="" textlink="">
          <xdr:nvSpPr>
            <xdr:cNvPr id="3083" name="Check Box 11" hidden="1">
              <a:extLst>
                <a:ext uri="{63B3BB69-23CF-44E3-9099-C40C66FF867C}">
                  <a14:compatExt spid="_x0000_s3083"/>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857250</xdr:colOff>
          <xdr:row>6</xdr:row>
          <xdr:rowOff>171450</xdr:rowOff>
        </xdr:from>
        <xdr:to>
          <xdr:col>2</xdr:col>
          <xdr:colOff>1552575</xdr:colOff>
          <xdr:row>8</xdr:row>
          <xdr:rowOff>28575</xdr:rowOff>
        </xdr:to>
        <xdr:sp macro="" textlink="">
          <xdr:nvSpPr>
            <xdr:cNvPr id="3084" name="Check Box 12" hidden="1">
              <a:extLst>
                <a:ext uri="{63B3BB69-23CF-44E3-9099-C40C66FF867C}">
                  <a14:compatExt spid="_x0000_s3084"/>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57150</xdr:colOff>
          <xdr:row>8</xdr:row>
          <xdr:rowOff>171450</xdr:rowOff>
        </xdr:from>
        <xdr:to>
          <xdr:col>1</xdr:col>
          <xdr:colOff>219075</xdr:colOff>
          <xdr:row>9</xdr:row>
          <xdr:rowOff>171450</xdr:rowOff>
        </xdr:to>
        <xdr:sp macro="" textlink="">
          <xdr:nvSpPr>
            <xdr:cNvPr id="3085" name="Check Box 13" hidden="1">
              <a:extLst>
                <a:ext uri="{63B3BB69-23CF-44E3-9099-C40C66FF867C}">
                  <a14:compatExt spid="_x0000_s3085"/>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oneCellAnchor>
    <xdr:from>
      <xdr:col>0</xdr:col>
      <xdr:colOff>22861</xdr:colOff>
      <xdr:row>11</xdr:row>
      <xdr:rowOff>182880</xdr:rowOff>
    </xdr:from>
    <xdr:ext cx="9890760" cy="2910840"/>
    <xdr:sp macro="" textlink="">
      <xdr:nvSpPr>
        <xdr:cNvPr id="2" name="TextBox 1"/>
        <xdr:cNvSpPr txBox="1"/>
      </xdr:nvSpPr>
      <xdr:spPr>
        <a:xfrm>
          <a:off x="22861" y="2255520"/>
          <a:ext cx="9890760" cy="29108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GB" b="1"/>
            <a:t>Project Requirements</a:t>
          </a:r>
          <a:r>
            <a:rPr lang="en-GB"/>
            <a:t/>
          </a:r>
          <a:br>
            <a:rPr lang="en-GB"/>
          </a:br>
          <a:r>
            <a:rPr lang="en-GB"/>
            <a:t>The project involves designing and building a miniature, altimeter for model rockets. The device must record altitude and optional acceleration in non-volatile memory and allow post-flight data download to a laptop. The system should use Arduino-compatible components and software, with the option for wireless data transfer. The final design will include a lightweight custom PCB fitting within a 17.5 mm × 30 mm cylinder.</a:t>
          </a:r>
        </a:p>
        <a:p>
          <a:endParaRPr lang="en-GB" b="1"/>
        </a:p>
        <a:p>
          <a:r>
            <a:rPr lang="en-GB" b="1"/>
            <a:t>Core Requirements:</a:t>
          </a:r>
          <a:endParaRPr lang="en-GB"/>
        </a:p>
        <a:p>
          <a:r>
            <a:rPr lang="en-GB" b="1"/>
            <a:t>Microcontroller:</a:t>
          </a:r>
          <a:r>
            <a:rPr lang="en-GB"/>
            <a:t> nRF52840, Arduino-compatible.</a:t>
          </a:r>
        </a:p>
        <a:p>
          <a:r>
            <a:rPr lang="en-GB" b="1"/>
            <a:t>Sensors:</a:t>
          </a:r>
          <a:r>
            <a:rPr lang="en-GB" b="0" baseline="0"/>
            <a:t> </a:t>
          </a:r>
          <a:r>
            <a:rPr lang="en-GB"/>
            <a:t>Pressure sensor: BMP390,</a:t>
          </a:r>
          <a:r>
            <a:rPr lang="en-GB" baseline="0"/>
            <a:t> </a:t>
          </a:r>
          <a:r>
            <a:rPr lang="en-GB"/>
            <a:t>Accelerometer: BMA253 or BMI270 (optional 3- or 6-axis)</a:t>
          </a:r>
        </a:p>
        <a:p>
          <a:r>
            <a:rPr lang="en-GB" b="1"/>
            <a:t>Memory:</a:t>
          </a:r>
          <a:r>
            <a:rPr lang="en-GB"/>
            <a:t> EEPROM for non-volatile storage.</a:t>
          </a:r>
        </a:p>
        <a:p>
          <a:r>
            <a:rPr lang="en-GB" b="1"/>
            <a:t>Connectivity:</a:t>
          </a:r>
          <a:r>
            <a:rPr lang="en-GB"/>
            <a:t> USB-C; optional Bluetooth for data transfer.</a:t>
          </a:r>
        </a:p>
        <a:p>
          <a:r>
            <a:rPr lang="en-GB" b="1"/>
            <a:t>Power:</a:t>
          </a:r>
          <a:r>
            <a:rPr lang="en-GB"/>
            <a:t> Connector for single-cell LiPo battery.</a:t>
          </a:r>
        </a:p>
        <a:p>
          <a:r>
            <a:rPr lang="en-GB" b="1"/>
            <a:t>Data Handling:</a:t>
          </a:r>
          <a:r>
            <a:rPr lang="en-GB"/>
            <a:t> Store flight data in EEPROM and provide access for download to a laptop. Optionally send data via Bluetooth or Arduino Cloud.</a:t>
          </a:r>
        </a:p>
        <a:p>
          <a:r>
            <a:rPr lang="en-GB" b="1"/>
            <a:t>PCB Design:</a:t>
          </a:r>
          <a:r>
            <a:rPr lang="en-GB"/>
            <a:t> Schematic and layout in KiCAD or similar; target mass ≤ 2.5 grams.</a:t>
          </a:r>
        </a:p>
        <a:p>
          <a:r>
            <a:rPr lang="en-GB" b="1"/>
            <a:t>Software Platform:</a:t>
          </a:r>
          <a:r>
            <a:rPr lang="en-GB"/>
            <a:t> Arduino IDE; optional Python/Processing for data analysis.</a:t>
          </a:r>
        </a:p>
        <a:p>
          <a:r>
            <a:rPr lang="en-GB" b="1"/>
            <a:t>Hardware Sourcing:</a:t>
          </a:r>
          <a:r>
            <a:rPr lang="en-GB"/>
            <a:t> Use readily available, reliable components.</a:t>
          </a:r>
        </a:p>
        <a:p>
          <a:r>
            <a:rPr lang="en-GB" b="1"/>
            <a:t>Developer Expertise Required:</a:t>
          </a:r>
          <a:r>
            <a:rPr lang="en-GB"/>
            <a:t> Firmware development, microcontrollers, programming.</a:t>
          </a:r>
        </a:p>
        <a:p>
          <a:endParaRPr lang="en-GB" sz="1100"/>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0</xdr:col>
      <xdr:colOff>0</xdr:colOff>
      <xdr:row>1</xdr:row>
      <xdr:rowOff>15240</xdr:rowOff>
    </xdr:from>
    <xdr:to>
      <xdr:col>5</xdr:col>
      <xdr:colOff>1295400</xdr:colOff>
      <xdr:row>16</xdr:row>
      <xdr:rowOff>167640</xdr:rowOff>
    </xdr:to>
    <xdr:sp macro="" textlink="">
      <xdr:nvSpPr>
        <xdr:cNvPr id="2" name="TextBox 1"/>
        <xdr:cNvSpPr txBox="1"/>
      </xdr:nvSpPr>
      <xdr:spPr>
        <a:xfrm>
          <a:off x="0" y="190500"/>
          <a:ext cx="9936480" cy="2971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a:t>Hi Chris,</a:t>
          </a:r>
        </a:p>
        <a:p>
          <a:r>
            <a:rPr lang="en-GB"/>
            <a:t>Thank you for your patience. I’ve completed the component evaluation for your altimeter project and finalized the hardware approach.</a:t>
          </a:r>
        </a:p>
        <a:p>
          <a:r>
            <a:rPr lang="en-GB"/>
            <a:t>We have two options for the microcontroller:</a:t>
          </a:r>
        </a:p>
        <a:p>
          <a:r>
            <a:rPr lang="en-GB" b="1"/>
            <a:t>Bare nRF52840 IC</a:t>
          </a:r>
          <a:r>
            <a:rPr lang="en-GB"/>
            <a:t> – This requires designing a full RF section (antenna, matching network, etc.) and obtaining CE/FCC certification, which adds complexity, cost, and time.</a:t>
          </a:r>
        </a:p>
        <a:p>
          <a:r>
            <a:rPr lang="en-GB" b="1"/>
            <a:t>u-blox NINA-B306-01B Module</a:t>
          </a:r>
          <a:r>
            <a:rPr lang="en-GB"/>
            <a:t> – This module integrates the same nRF52840 chip, includes an onboard antenna, and is already </a:t>
          </a:r>
          <a:r>
            <a:rPr lang="en-GB" b="1"/>
            <a:t>CE and </a:t>
          </a:r>
          <a:r>
            <a:rPr lang="en-GB" sz="1100" b="1">
              <a:solidFill>
                <a:schemeClr val="dk1"/>
              </a:solidFill>
              <a:effectLst/>
              <a:latin typeface="+mn-lt"/>
              <a:ea typeface="+mn-ea"/>
              <a:cs typeface="+mn-cs"/>
            </a:rPr>
            <a:t>FCC </a:t>
          </a:r>
          <a:r>
            <a:rPr lang="en-GB" b="1"/>
            <a:t>certified</a:t>
          </a:r>
          <a:r>
            <a:rPr lang="en-GB"/>
            <a:t>. It’s compact (approximately 10 mm x 15 mm), making it ideal for the rocket’s limited payload diameter (&lt;17.5 mm).</a:t>
          </a:r>
        </a:p>
        <a:p>
          <a:r>
            <a:rPr lang="en-GB"/>
            <a:t>After analysis, I’ve selected the </a:t>
          </a:r>
          <a:r>
            <a:rPr lang="en-GB" b="1"/>
            <a:t>u-blox NINA-B306-01B</a:t>
          </a:r>
          <a:r>
            <a:rPr lang="en-GB"/>
            <a:t> as the best option for this project due to its reliability, certification compliance, and size efficiency.</a:t>
          </a:r>
        </a:p>
        <a:p>
          <a:r>
            <a:rPr lang="en-GB"/>
            <a:t>For the sensors:</a:t>
          </a:r>
        </a:p>
        <a:p>
          <a:r>
            <a:rPr lang="en-GB" b="1"/>
            <a:t>Pressure Sensor:</a:t>
          </a:r>
          <a:r>
            <a:rPr lang="en-GB"/>
            <a:t> BMP390 (Adafruit Precision Barometric Sensor)</a:t>
          </a:r>
        </a:p>
        <a:p>
          <a:r>
            <a:rPr lang="en-GB" b="1"/>
            <a:t>Accelerometer/Gyroscope:</a:t>
          </a:r>
          <a:r>
            <a:rPr lang="en-GB"/>
            <a:t> LSM6DSO32 (Adafruit 6-DOF IMU) — chosen over BMA253/BMI270 due to availability and superior stability.</a:t>
          </a:r>
        </a:p>
        <a:p>
          <a:r>
            <a:rPr lang="en-GB"/>
            <a:t>For early firmware development and testing, I’ll use the </a:t>
          </a:r>
          <a:r>
            <a:rPr lang="en-GB" b="1"/>
            <a:t>Arduino Nano 33 BLE Rev2</a:t>
          </a:r>
          <a:r>
            <a:rPr lang="en-GB"/>
            <a:t>, which uses the same nRF52840 core. This will let us prototype the firmware and data logging functions before finalizing the custom PCB.</a:t>
          </a:r>
        </a:p>
        <a:p>
          <a:endParaRPr lang="en-GB" sz="1100"/>
        </a:p>
        <a:p>
          <a:endParaRPr lang="en-GB" sz="1100"/>
        </a:p>
        <a:p>
          <a:r>
            <a:rPr lang="en-GB"/>
            <a:t>I’ve prepared a separate component list with all required sensors and parts, including purchase links. Please place the order as soon as possible so the components arrive on time and we can ensure smooth progress before the project deadline. Once they arrive, I’ll start firmware testing and sensor integration right away.</a:t>
          </a:r>
          <a:endParaRPr lang="en-GB" sz="1100"/>
        </a:p>
      </xdr:txBody>
    </xdr:sp>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ables/table1.xml><?xml version="1.0" encoding="utf-8"?>
<table xmlns="http://schemas.openxmlformats.org/spreadsheetml/2006/main" id="1" name="Table1" displayName="Table1" ref="A1:H6" totalsRowShown="0" headerRowDxfId="11" dataDxfId="9" headerRowBorderDxfId="10" tableBorderDxfId="8" totalsRowBorderDxfId="7">
  <tableColumns count="8">
    <tableColumn id="1" name="Sr. No" dataDxfId="6"/>
    <tableColumn id="2" name="Component Name" dataDxfId="5"/>
    <tableColumn id="8" name="Variant" dataDxfId="4"/>
    <tableColumn id="3" name="Description / Use" dataDxfId="3"/>
    <tableColumn id="4" name="Link to Cart" dataCellStyle="Hyperlink"/>
    <tableColumn id="5" name="Quantity" dataDxfId="2"/>
    <tableColumn id="6" name="Unit Price" dataDxfId="1"/>
    <tableColumn id="7" name="Total Price (Euro)" dataDxfId="0">
      <calculatedColumnFormula>F2*G2</calculatedColumnFormula>
    </tableColumn>
  </tableColumns>
  <tableStyleInfo name="TableStyleLight1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5.xml"/><Relationship Id="rId13" Type="http://schemas.openxmlformats.org/officeDocument/2006/relationships/ctrlProp" Target="../ctrlProps/ctrlProp10.xml"/><Relationship Id="rId3" Type="http://schemas.openxmlformats.org/officeDocument/2006/relationships/vmlDrawing" Target="../drawings/vmlDrawing1.vml"/><Relationship Id="rId7" Type="http://schemas.openxmlformats.org/officeDocument/2006/relationships/ctrlProp" Target="../ctrlProps/ctrlProp4.xml"/><Relationship Id="rId12" Type="http://schemas.openxmlformats.org/officeDocument/2006/relationships/ctrlProp" Target="../ctrlProps/ctrlProp9.xml"/><Relationship Id="rId2" Type="http://schemas.openxmlformats.org/officeDocument/2006/relationships/drawing" Target="../drawings/drawing1.xml"/><Relationship Id="rId16" Type="http://schemas.openxmlformats.org/officeDocument/2006/relationships/ctrlProp" Target="../ctrlProps/ctrlProp13.xml"/><Relationship Id="rId1" Type="http://schemas.openxmlformats.org/officeDocument/2006/relationships/printerSettings" Target="../printerSettings/printerSettings1.bin"/><Relationship Id="rId6" Type="http://schemas.openxmlformats.org/officeDocument/2006/relationships/ctrlProp" Target="../ctrlProps/ctrlProp3.xml"/><Relationship Id="rId11" Type="http://schemas.openxmlformats.org/officeDocument/2006/relationships/ctrlProp" Target="../ctrlProps/ctrlProp8.xml"/><Relationship Id="rId5" Type="http://schemas.openxmlformats.org/officeDocument/2006/relationships/ctrlProp" Target="../ctrlProps/ctrlProp2.xml"/><Relationship Id="rId15" Type="http://schemas.openxmlformats.org/officeDocument/2006/relationships/ctrlProp" Target="../ctrlProps/ctrlProp12.xml"/><Relationship Id="rId10" Type="http://schemas.openxmlformats.org/officeDocument/2006/relationships/ctrlProp" Target="../ctrlProps/ctrlProp7.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
    <pageSetUpPr fitToPage="1"/>
  </sheetPr>
  <dimension ref="A1:G105"/>
  <sheetViews>
    <sheetView tabSelected="1" topLeftCell="A76" zoomScale="115" zoomScaleNormal="115" workbookViewId="0">
      <selection activeCell="A86" sqref="A86:F105"/>
    </sheetView>
  </sheetViews>
  <sheetFormatPr defaultColWidth="9.140625" defaultRowHeight="15" customHeight="1" x14ac:dyDescent="0.2"/>
  <cols>
    <col min="1" max="1" width="37.42578125" style="1" customWidth="1"/>
    <col min="2" max="2" width="17" style="1" customWidth="1"/>
    <col min="3" max="3" width="53.5703125" style="1" customWidth="1"/>
    <col min="4" max="4" width="19.85546875" style="1" customWidth="1"/>
    <col min="5" max="5" width="15.42578125" style="1" customWidth="1"/>
    <col min="6" max="6" width="20" style="1" customWidth="1"/>
    <col min="7" max="16384" width="9.140625" style="1"/>
  </cols>
  <sheetData>
    <row r="1" spans="1:6" ht="30.75" customHeight="1" x14ac:dyDescent="0.2">
      <c r="A1" s="158" t="s">
        <v>89</v>
      </c>
      <c r="B1" s="159"/>
      <c r="C1" s="159"/>
      <c r="D1" s="159"/>
      <c r="E1" s="159"/>
      <c r="F1" s="160"/>
    </row>
    <row r="2" spans="1:6" ht="21" customHeight="1" x14ac:dyDescent="0.2">
      <c r="A2" s="137" t="s">
        <v>0</v>
      </c>
      <c r="B2" s="138"/>
      <c r="C2" s="138"/>
      <c r="D2" s="138"/>
      <c r="E2" s="138"/>
      <c r="F2" s="139"/>
    </row>
    <row r="3" spans="1:6" ht="4.5" hidden="1" customHeight="1" x14ac:dyDescent="0.2">
      <c r="A3" s="137"/>
      <c r="B3" s="138"/>
      <c r="C3" s="138"/>
      <c r="D3" s="138"/>
      <c r="E3" s="138"/>
      <c r="F3" s="139"/>
    </row>
    <row r="4" spans="1:6" ht="15.75" x14ac:dyDescent="0.25">
      <c r="A4" s="73" t="s">
        <v>1</v>
      </c>
      <c r="B4" s="134"/>
      <c r="C4" s="135"/>
      <c r="D4" s="135"/>
      <c r="E4" s="135"/>
      <c r="F4" s="136"/>
    </row>
    <row r="5" spans="1:6" ht="14.25" x14ac:dyDescent="0.2">
      <c r="A5" s="33" t="s">
        <v>2</v>
      </c>
      <c r="B5" s="168" t="s">
        <v>90</v>
      </c>
      <c r="C5" s="168"/>
      <c r="D5" s="168"/>
      <c r="E5" s="168"/>
      <c r="F5" s="169"/>
    </row>
    <row r="6" spans="1:6" ht="14.25" x14ac:dyDescent="0.2">
      <c r="A6" s="34" t="s">
        <v>3</v>
      </c>
      <c r="B6" s="148" t="s">
        <v>88</v>
      </c>
      <c r="C6" s="148"/>
      <c r="D6" s="148"/>
      <c r="E6" s="148"/>
      <c r="F6" s="170"/>
    </row>
    <row r="7" spans="1:6" ht="14.25" x14ac:dyDescent="0.2">
      <c r="A7" s="34" t="s">
        <v>4</v>
      </c>
      <c r="B7" s="147">
        <v>45929</v>
      </c>
      <c r="C7" s="148"/>
      <c r="D7" s="19" t="s">
        <v>5</v>
      </c>
      <c r="E7" s="149">
        <v>45961</v>
      </c>
      <c r="F7" s="150"/>
    </row>
    <row r="8" spans="1:6" ht="14.25" x14ac:dyDescent="0.2">
      <c r="A8" s="43" t="s">
        <v>6</v>
      </c>
      <c r="B8" s="20" t="s">
        <v>7</v>
      </c>
      <c r="C8" s="18" t="s">
        <v>8</v>
      </c>
      <c r="E8" s="151"/>
      <c r="F8" s="152"/>
    </row>
    <row r="9" spans="1:6" ht="14.25" x14ac:dyDescent="0.2">
      <c r="A9" s="34" t="s">
        <v>9</v>
      </c>
      <c r="B9" s="145">
        <v>15</v>
      </c>
      <c r="C9" s="145"/>
      <c r="D9" s="146" t="s">
        <v>10</v>
      </c>
      <c r="E9" s="146"/>
      <c r="F9" s="95">
        <v>1500</v>
      </c>
    </row>
    <row r="10" spans="1:6" ht="14.25" x14ac:dyDescent="0.2">
      <c r="A10" s="34" t="s">
        <v>11</v>
      </c>
      <c r="B10" s="21"/>
      <c r="C10" s="22"/>
      <c r="D10" s="146"/>
      <c r="E10" s="146"/>
      <c r="F10" s="35"/>
    </row>
    <row r="11" spans="1:6" ht="14.25" x14ac:dyDescent="0.2">
      <c r="A11" s="140"/>
      <c r="B11" s="141"/>
      <c r="C11" s="141"/>
      <c r="D11" s="141"/>
      <c r="E11" s="141"/>
      <c r="F11" s="142"/>
    </row>
    <row r="12" spans="1:6" ht="15.75" customHeight="1" x14ac:dyDescent="0.25">
      <c r="A12" s="165" t="s">
        <v>12</v>
      </c>
      <c r="B12" s="166"/>
      <c r="C12" s="166"/>
      <c r="D12" s="166"/>
      <c r="E12" s="166"/>
      <c r="F12" s="167"/>
    </row>
    <row r="13" spans="1:6" ht="15" customHeight="1" x14ac:dyDescent="0.2">
      <c r="A13" s="161"/>
      <c r="B13" s="162"/>
      <c r="C13" s="162"/>
      <c r="D13" s="162"/>
      <c r="E13" s="162"/>
      <c r="F13" s="163"/>
    </row>
    <row r="14" spans="1:6" ht="168" customHeight="1" x14ac:dyDescent="0.2">
      <c r="A14" s="164"/>
      <c r="B14" s="162"/>
      <c r="C14" s="162"/>
      <c r="D14" s="162"/>
      <c r="E14" s="162"/>
      <c r="F14" s="163"/>
    </row>
    <row r="15" spans="1:6" ht="16.149999999999999" customHeight="1" x14ac:dyDescent="0.2">
      <c r="A15" s="164"/>
      <c r="B15" s="162"/>
      <c r="C15" s="162"/>
      <c r="D15" s="162"/>
      <c r="E15" s="162"/>
      <c r="F15" s="163"/>
    </row>
    <row r="16" spans="1:6" ht="14.25" x14ac:dyDescent="0.2">
      <c r="A16" s="164"/>
      <c r="B16" s="162"/>
      <c r="C16" s="162"/>
      <c r="D16" s="162"/>
      <c r="E16" s="162"/>
      <c r="F16" s="163"/>
    </row>
    <row r="17" spans="1:6" ht="14.25" x14ac:dyDescent="0.2">
      <c r="A17" s="164"/>
      <c r="B17" s="162"/>
      <c r="C17" s="162"/>
      <c r="D17" s="162"/>
      <c r="E17" s="162"/>
      <c r="F17" s="163"/>
    </row>
    <row r="18" spans="1:6" ht="14.25" x14ac:dyDescent="0.2">
      <c r="A18" s="164"/>
      <c r="B18" s="162"/>
      <c r="C18" s="162"/>
      <c r="D18" s="162"/>
      <c r="E18" s="162"/>
      <c r="F18" s="163"/>
    </row>
    <row r="19" spans="1:6" ht="15.75" x14ac:dyDescent="0.25">
      <c r="A19" s="98" t="s">
        <v>13</v>
      </c>
      <c r="B19" s="184"/>
      <c r="C19" s="143"/>
      <c r="D19" s="97"/>
      <c r="E19" s="143"/>
      <c r="F19" s="144"/>
    </row>
    <row r="20" spans="1:6" ht="14.25" x14ac:dyDescent="0.2">
      <c r="A20" s="129" t="s">
        <v>112</v>
      </c>
      <c r="B20" s="130" t="s">
        <v>15</v>
      </c>
      <c r="C20" s="131"/>
      <c r="D20" s="5" t="s">
        <v>16</v>
      </c>
      <c r="E20" s="6" t="s">
        <v>17</v>
      </c>
      <c r="F20" s="36" t="s">
        <v>18</v>
      </c>
    </row>
    <row r="21" spans="1:6" ht="14.25" customHeight="1" x14ac:dyDescent="0.2">
      <c r="A21" s="129"/>
      <c r="B21" s="132" t="s">
        <v>98</v>
      </c>
      <c r="C21" s="133"/>
      <c r="D21" s="7">
        <v>6</v>
      </c>
      <c r="E21" s="153" t="s">
        <v>115</v>
      </c>
      <c r="F21" s="114" t="s">
        <v>123</v>
      </c>
    </row>
    <row r="22" spans="1:6" ht="14.25" x14ac:dyDescent="0.2">
      <c r="A22" s="129"/>
      <c r="B22" s="132" t="s">
        <v>99</v>
      </c>
      <c r="C22" s="133"/>
      <c r="D22" s="8">
        <v>2</v>
      </c>
      <c r="E22" s="154"/>
      <c r="F22" s="114" t="s">
        <v>123</v>
      </c>
    </row>
    <row r="23" spans="1:6" ht="14.25" x14ac:dyDescent="0.2">
      <c r="A23" s="129"/>
      <c r="B23" s="132" t="s">
        <v>100</v>
      </c>
      <c r="C23" s="133"/>
      <c r="D23" s="8">
        <v>2</v>
      </c>
      <c r="E23" s="154"/>
      <c r="F23" s="114" t="s">
        <v>123</v>
      </c>
    </row>
    <row r="24" spans="1:6" ht="14.25" x14ac:dyDescent="0.2">
      <c r="A24" s="129"/>
      <c r="B24" s="132" t="s">
        <v>101</v>
      </c>
      <c r="C24" s="133"/>
      <c r="D24" s="8">
        <v>1</v>
      </c>
      <c r="E24" s="154"/>
      <c r="F24" s="114" t="s">
        <v>123</v>
      </c>
    </row>
    <row r="25" spans="1:6" ht="14.25" x14ac:dyDescent="0.2">
      <c r="A25" s="129"/>
      <c r="B25" s="132" t="s">
        <v>102</v>
      </c>
      <c r="C25" s="133"/>
      <c r="D25" s="9">
        <v>5</v>
      </c>
      <c r="E25" s="154"/>
      <c r="F25" s="114" t="s">
        <v>123</v>
      </c>
    </row>
    <row r="26" spans="1:6" ht="14.25" x14ac:dyDescent="0.2">
      <c r="A26" s="64"/>
      <c r="B26" s="156" t="s">
        <v>19</v>
      </c>
      <c r="C26" s="157"/>
      <c r="D26" s="74">
        <f>SUM(D21:D25)</f>
        <v>16</v>
      </c>
      <c r="E26" s="155"/>
      <c r="F26" s="37"/>
    </row>
    <row r="27" spans="1:6" ht="14.25" x14ac:dyDescent="0.2">
      <c r="A27" s="129" t="s">
        <v>113</v>
      </c>
      <c r="B27" s="130" t="s">
        <v>15</v>
      </c>
      <c r="C27" s="131"/>
      <c r="D27" s="5" t="s">
        <v>16</v>
      </c>
      <c r="E27" s="6" t="s">
        <v>17</v>
      </c>
      <c r="F27" s="36" t="s">
        <v>18</v>
      </c>
    </row>
    <row r="28" spans="1:6" ht="14.25" x14ac:dyDescent="0.2">
      <c r="A28" s="129"/>
      <c r="B28" s="132" t="s">
        <v>104</v>
      </c>
      <c r="C28" s="133"/>
      <c r="D28" s="7">
        <v>26</v>
      </c>
      <c r="E28" s="153" t="s">
        <v>103</v>
      </c>
      <c r="F28" s="114" t="s">
        <v>123</v>
      </c>
    </row>
    <row r="29" spans="1:6" ht="14.25" x14ac:dyDescent="0.2">
      <c r="A29" s="129"/>
      <c r="B29" s="132" t="s">
        <v>105</v>
      </c>
      <c r="C29" s="133"/>
      <c r="D29" s="8">
        <v>16</v>
      </c>
      <c r="E29" s="154"/>
      <c r="F29" s="114" t="s">
        <v>123</v>
      </c>
    </row>
    <row r="30" spans="1:6" ht="14.25" x14ac:dyDescent="0.2">
      <c r="A30" s="129"/>
      <c r="B30" s="132" t="s">
        <v>106</v>
      </c>
      <c r="C30" s="133"/>
      <c r="D30" s="8">
        <v>4</v>
      </c>
      <c r="E30" s="154"/>
      <c r="F30" s="114" t="s">
        <v>149</v>
      </c>
    </row>
    <row r="31" spans="1:6" ht="14.25" x14ac:dyDescent="0.2">
      <c r="A31" s="129"/>
      <c r="B31" s="132" t="s">
        <v>107</v>
      </c>
      <c r="C31" s="133"/>
      <c r="D31" s="8">
        <v>4</v>
      </c>
      <c r="E31" s="154"/>
      <c r="F31" s="114" t="s">
        <v>123</v>
      </c>
    </row>
    <row r="32" spans="1:6" ht="14.25" x14ac:dyDescent="0.2">
      <c r="A32" s="129"/>
      <c r="B32" s="132" t="s">
        <v>108</v>
      </c>
      <c r="C32" s="133"/>
      <c r="D32" s="9">
        <v>4</v>
      </c>
      <c r="E32" s="154"/>
      <c r="F32" s="114" t="s">
        <v>123</v>
      </c>
    </row>
    <row r="33" spans="1:6" ht="14.25" x14ac:dyDescent="0.2">
      <c r="A33" s="64"/>
      <c r="B33" s="156" t="s">
        <v>21</v>
      </c>
      <c r="C33" s="157"/>
      <c r="D33" s="74">
        <f>SUM(D28:D32)</f>
        <v>54</v>
      </c>
      <c r="E33" s="155"/>
      <c r="F33" s="37"/>
    </row>
    <row r="34" spans="1:6" ht="14.25" x14ac:dyDescent="0.2">
      <c r="A34" s="38"/>
      <c r="B34" s="10"/>
      <c r="C34" s="11"/>
      <c r="D34" s="23"/>
      <c r="E34" s="101"/>
      <c r="F34" s="37"/>
    </row>
    <row r="35" spans="1:6" ht="14.25" x14ac:dyDescent="0.2">
      <c r="A35" s="129" t="s">
        <v>114</v>
      </c>
      <c r="B35" s="130" t="s">
        <v>15</v>
      </c>
      <c r="C35" s="131"/>
      <c r="D35" s="5" t="s">
        <v>16</v>
      </c>
      <c r="E35" s="6" t="s">
        <v>17</v>
      </c>
      <c r="F35" s="36" t="s">
        <v>18</v>
      </c>
    </row>
    <row r="36" spans="1:6" ht="14.25" x14ac:dyDescent="0.2">
      <c r="A36" s="129"/>
      <c r="B36" s="132" t="s">
        <v>110</v>
      </c>
      <c r="C36" s="133"/>
      <c r="D36" s="7">
        <v>16</v>
      </c>
      <c r="E36" s="153" t="s">
        <v>116</v>
      </c>
      <c r="F36" s="114" t="s">
        <v>123</v>
      </c>
    </row>
    <row r="37" spans="1:6" ht="14.25" x14ac:dyDescent="0.2">
      <c r="A37" s="129"/>
      <c r="B37" s="132" t="s">
        <v>109</v>
      </c>
      <c r="C37" s="133"/>
      <c r="D37" s="8"/>
      <c r="E37" s="154"/>
      <c r="F37" s="114" t="s">
        <v>144</v>
      </c>
    </row>
    <row r="38" spans="1:6" ht="14.25" x14ac:dyDescent="0.2">
      <c r="A38" s="129"/>
      <c r="B38" s="132" t="s">
        <v>111</v>
      </c>
      <c r="C38" s="133"/>
      <c r="D38" s="8"/>
      <c r="E38" s="154"/>
      <c r="F38" s="114" t="s">
        <v>144</v>
      </c>
    </row>
    <row r="39" spans="1:6" ht="14.25" x14ac:dyDescent="0.2">
      <c r="A39" s="129"/>
      <c r="B39" s="132" t="s">
        <v>145</v>
      </c>
      <c r="C39" s="133"/>
      <c r="D39" s="8"/>
      <c r="E39" s="154"/>
      <c r="F39" s="114" t="s">
        <v>144</v>
      </c>
    </row>
    <row r="40" spans="1:6" ht="14.25" x14ac:dyDescent="0.2">
      <c r="A40" s="129"/>
      <c r="B40" s="132" t="s">
        <v>146</v>
      </c>
      <c r="C40" s="133"/>
      <c r="D40" s="9"/>
      <c r="E40" s="154"/>
      <c r="F40" s="114" t="s">
        <v>144</v>
      </c>
    </row>
    <row r="41" spans="1:6" ht="14.25" x14ac:dyDescent="0.2">
      <c r="A41" s="129"/>
      <c r="B41" s="125" t="s">
        <v>147</v>
      </c>
      <c r="C41" s="126"/>
      <c r="D41" s="9"/>
      <c r="E41" s="154"/>
      <c r="F41" s="114" t="s">
        <v>144</v>
      </c>
    </row>
    <row r="42" spans="1:6" ht="14.45" customHeight="1" x14ac:dyDescent="0.2">
      <c r="A42" s="129"/>
      <c r="B42" s="127" t="s">
        <v>148</v>
      </c>
      <c r="C42" s="128"/>
      <c r="D42" s="9"/>
      <c r="E42" s="154"/>
      <c r="F42" s="114" t="s">
        <v>144</v>
      </c>
    </row>
    <row r="43" spans="1:6" ht="14.25" x14ac:dyDescent="0.2">
      <c r="A43" s="64"/>
      <c r="B43" s="156" t="s">
        <v>23</v>
      </c>
      <c r="C43" s="157"/>
      <c r="D43" s="74">
        <f>SUM(D36:D42)</f>
        <v>16</v>
      </c>
      <c r="E43" s="63"/>
      <c r="F43" s="75"/>
    </row>
    <row r="44" spans="1:6" s="2" customFormat="1" ht="14.25" x14ac:dyDescent="0.2">
      <c r="A44" s="216"/>
      <c r="B44" s="217"/>
      <c r="C44" s="217"/>
      <c r="D44" s="217"/>
      <c r="E44" s="217"/>
      <c r="F44" s="218"/>
    </row>
    <row r="45" spans="1:6" ht="19.5" customHeight="1" x14ac:dyDescent="0.25">
      <c r="A45" s="183" t="s">
        <v>24</v>
      </c>
      <c r="B45" s="184"/>
      <c r="C45" s="76" t="s">
        <v>25</v>
      </c>
      <c r="D45" s="134" t="s">
        <v>26</v>
      </c>
      <c r="E45" s="135"/>
      <c r="F45" s="136"/>
    </row>
    <row r="46" spans="1:6" ht="14.25" x14ac:dyDescent="0.2">
      <c r="A46" s="39" t="s">
        <v>27</v>
      </c>
      <c r="B46" s="50"/>
      <c r="C46" s="99" t="s">
        <v>28</v>
      </c>
      <c r="D46" s="199" t="s">
        <v>29</v>
      </c>
      <c r="E46" s="200"/>
      <c r="F46" s="201"/>
    </row>
    <row r="47" spans="1:6" ht="14.25" x14ac:dyDescent="0.2">
      <c r="A47" s="39" t="s">
        <v>30</v>
      </c>
      <c r="B47" s="50"/>
      <c r="C47" s="100" t="s">
        <v>92</v>
      </c>
      <c r="D47" s="202"/>
      <c r="E47" s="203"/>
      <c r="F47" s="204"/>
    </row>
    <row r="48" spans="1:6" ht="14.25" x14ac:dyDescent="0.2">
      <c r="A48" s="39" t="s">
        <v>31</v>
      </c>
      <c r="B48" s="50"/>
      <c r="C48" s="100" t="s">
        <v>91</v>
      </c>
      <c r="D48" s="202"/>
      <c r="E48" s="203"/>
      <c r="F48" s="204"/>
    </row>
    <row r="49" spans="1:6" ht="14.25" x14ac:dyDescent="0.2">
      <c r="A49" s="39" t="s">
        <v>32</v>
      </c>
      <c r="B49" s="50"/>
      <c r="C49" s="100" t="s">
        <v>93</v>
      </c>
      <c r="D49" s="202"/>
      <c r="E49" s="203"/>
      <c r="F49" s="204"/>
    </row>
    <row r="50" spans="1:6" ht="14.25" x14ac:dyDescent="0.2">
      <c r="A50" s="39" t="s">
        <v>33</v>
      </c>
      <c r="B50" s="50"/>
      <c r="C50" s="100" t="s">
        <v>94</v>
      </c>
      <c r="D50" s="205"/>
      <c r="E50" s="206"/>
      <c r="F50" s="207"/>
    </row>
    <row r="51" spans="1:6" ht="14.25" x14ac:dyDescent="0.2">
      <c r="A51" s="39" t="s">
        <v>34</v>
      </c>
      <c r="B51" s="50"/>
      <c r="C51" s="12" t="s">
        <v>35</v>
      </c>
      <c r="D51" s="191" t="s">
        <v>36</v>
      </c>
      <c r="E51" s="192"/>
      <c r="F51" s="193"/>
    </row>
    <row r="52" spans="1:6" ht="14.25" x14ac:dyDescent="0.2">
      <c r="A52" s="39" t="s">
        <v>37</v>
      </c>
      <c r="B52" s="50"/>
      <c r="C52" s="49" t="s">
        <v>95</v>
      </c>
      <c r="D52" s="194" t="s">
        <v>38</v>
      </c>
      <c r="E52" s="195"/>
      <c r="F52" s="196"/>
    </row>
    <row r="53" spans="1:6" ht="14.25" x14ac:dyDescent="0.2">
      <c r="A53" s="39" t="s">
        <v>39</v>
      </c>
      <c r="B53" s="50"/>
      <c r="C53" s="49" t="s">
        <v>96</v>
      </c>
      <c r="D53" s="194" t="s">
        <v>40</v>
      </c>
      <c r="E53" s="195"/>
      <c r="F53" s="196"/>
    </row>
    <row r="54" spans="1:6" ht="14.25" x14ac:dyDescent="0.2">
      <c r="A54" s="39" t="s">
        <v>41</v>
      </c>
      <c r="B54" s="50"/>
      <c r="C54" s="49" t="s">
        <v>97</v>
      </c>
      <c r="D54" s="194" t="s">
        <v>42</v>
      </c>
      <c r="E54" s="195"/>
      <c r="F54" s="196"/>
    </row>
    <row r="55" spans="1:6" ht="14.25" x14ac:dyDescent="0.2">
      <c r="A55" s="39" t="s">
        <v>43</v>
      </c>
      <c r="B55" s="50"/>
      <c r="C55" s="49"/>
      <c r="D55" s="194" t="s">
        <v>44</v>
      </c>
      <c r="E55" s="195"/>
      <c r="F55" s="196"/>
    </row>
    <row r="56" spans="1:6" ht="14.25" x14ac:dyDescent="0.2">
      <c r="A56" s="219"/>
      <c r="B56" s="220"/>
      <c r="C56" s="220"/>
      <c r="D56" s="220"/>
      <c r="E56" s="220"/>
      <c r="F56" s="221"/>
    </row>
    <row r="57" spans="1:6" ht="15.75" x14ac:dyDescent="0.2">
      <c r="A57" s="188" t="s">
        <v>76</v>
      </c>
      <c r="B57" s="197"/>
      <c r="C57" s="197"/>
      <c r="D57" s="197"/>
      <c r="E57" s="197"/>
      <c r="F57" s="198"/>
    </row>
    <row r="58" spans="1:6" ht="14.25" x14ac:dyDescent="0.2">
      <c r="A58" s="215" t="s">
        <v>45</v>
      </c>
      <c r="B58" s="215"/>
      <c r="C58" s="215"/>
      <c r="D58" s="215"/>
      <c r="E58" s="215"/>
      <c r="F58" s="96" t="s">
        <v>16</v>
      </c>
    </row>
    <row r="59" spans="1:6" ht="14.25" x14ac:dyDescent="0.2">
      <c r="A59" s="211"/>
      <c r="B59" s="211"/>
      <c r="C59" s="211"/>
      <c r="D59" s="211"/>
      <c r="E59" s="211"/>
      <c r="F59" s="57"/>
    </row>
    <row r="60" spans="1:6" ht="14.25" x14ac:dyDescent="0.2">
      <c r="A60" s="211"/>
      <c r="B60" s="211"/>
      <c r="C60" s="211"/>
      <c r="D60" s="211"/>
      <c r="E60" s="211"/>
      <c r="F60" s="58"/>
    </row>
    <row r="61" spans="1:6" ht="14.25" x14ac:dyDescent="0.2">
      <c r="A61" s="77"/>
      <c r="B61" s="78"/>
      <c r="C61" s="212" t="s">
        <v>73</v>
      </c>
      <c r="D61" s="213"/>
      <c r="E61" s="214"/>
      <c r="F61" s="79">
        <f>SUM(F59:F60)</f>
        <v>0</v>
      </c>
    </row>
    <row r="62" spans="1:6" ht="14.25" x14ac:dyDescent="0.2">
      <c r="A62" s="208"/>
      <c r="B62" s="209"/>
      <c r="C62" s="209"/>
      <c r="D62" s="209"/>
      <c r="E62" s="209"/>
      <c r="F62" s="210"/>
    </row>
    <row r="63" spans="1:6" s="3" customFormat="1" ht="21.75" customHeight="1" x14ac:dyDescent="0.2">
      <c r="A63" s="66" t="s">
        <v>77</v>
      </c>
      <c r="B63" s="65"/>
      <c r="C63" s="65"/>
      <c r="D63" s="65"/>
      <c r="E63" s="65"/>
      <c r="F63" s="67"/>
    </row>
    <row r="64" spans="1:6" s="3" customFormat="1" ht="21.75" customHeight="1" x14ac:dyDescent="0.2">
      <c r="A64" s="44" t="s">
        <v>52</v>
      </c>
      <c r="B64" s="24" t="s">
        <v>53</v>
      </c>
      <c r="C64" s="24" t="s">
        <v>54</v>
      </c>
      <c r="D64" s="25" t="s">
        <v>117</v>
      </c>
      <c r="E64" s="26" t="s">
        <v>55</v>
      </c>
      <c r="F64" s="45" t="s">
        <v>118</v>
      </c>
    </row>
    <row r="65" spans="1:7" ht="14.25" x14ac:dyDescent="0.2">
      <c r="A65" s="46" t="s">
        <v>56</v>
      </c>
      <c r="B65" s="27" t="s">
        <v>57</v>
      </c>
      <c r="C65" s="27"/>
      <c r="D65" s="28"/>
      <c r="E65" s="29"/>
      <c r="F65" s="102">
        <f>D65*E65</f>
        <v>0</v>
      </c>
    </row>
    <row r="66" spans="1:7" ht="14.25" x14ac:dyDescent="0.2">
      <c r="A66" s="46" t="s">
        <v>58</v>
      </c>
      <c r="B66" s="27" t="s">
        <v>59</v>
      </c>
      <c r="C66" s="27"/>
      <c r="D66" s="28"/>
      <c r="E66" s="29"/>
      <c r="F66" s="102">
        <f t="shared" ref="F66:F72" si="0">D66*E66</f>
        <v>0</v>
      </c>
    </row>
    <row r="67" spans="1:7" ht="14.25" x14ac:dyDescent="0.2">
      <c r="A67" s="46" t="s">
        <v>60</v>
      </c>
      <c r="B67" s="27" t="s">
        <v>61</v>
      </c>
      <c r="C67" s="27"/>
      <c r="D67" s="28"/>
      <c r="E67" s="29"/>
      <c r="F67" s="102">
        <f t="shared" si="0"/>
        <v>0</v>
      </c>
    </row>
    <row r="68" spans="1:7" ht="14.25" x14ac:dyDescent="0.2">
      <c r="A68" s="47" t="s">
        <v>62</v>
      </c>
      <c r="B68" s="27" t="s">
        <v>63</v>
      </c>
      <c r="C68" s="27"/>
      <c r="D68" s="28"/>
      <c r="E68" s="29"/>
      <c r="F68" s="102">
        <f t="shared" si="0"/>
        <v>0</v>
      </c>
    </row>
    <row r="69" spans="1:7" ht="14.25" x14ac:dyDescent="0.2">
      <c r="A69" s="47" t="s">
        <v>64</v>
      </c>
      <c r="B69" s="27" t="s">
        <v>65</v>
      </c>
      <c r="C69" s="27"/>
      <c r="D69" s="28"/>
      <c r="E69" s="29"/>
      <c r="F69" s="102">
        <f t="shared" si="0"/>
        <v>0</v>
      </c>
    </row>
    <row r="70" spans="1:7" ht="14.25" x14ac:dyDescent="0.2">
      <c r="A70" s="47" t="s">
        <v>66</v>
      </c>
      <c r="B70" s="27" t="s">
        <v>67</v>
      </c>
      <c r="C70" s="27"/>
      <c r="D70" s="28"/>
      <c r="E70" s="29"/>
      <c r="F70" s="102">
        <f t="shared" si="0"/>
        <v>0</v>
      </c>
    </row>
    <row r="71" spans="1:7" ht="14.25" x14ac:dyDescent="0.2">
      <c r="A71" s="46" t="s">
        <v>68</v>
      </c>
      <c r="B71" s="27" t="s">
        <v>69</v>
      </c>
      <c r="C71" s="27"/>
      <c r="D71" s="28"/>
      <c r="E71" s="29"/>
      <c r="F71" s="102">
        <f t="shared" si="0"/>
        <v>0</v>
      </c>
    </row>
    <row r="72" spans="1:7" ht="14.25" x14ac:dyDescent="0.2">
      <c r="A72" s="48" t="s">
        <v>70</v>
      </c>
      <c r="B72" s="30"/>
      <c r="C72" s="31"/>
      <c r="D72" s="32"/>
      <c r="E72" s="29"/>
      <c r="F72" s="102">
        <f t="shared" si="0"/>
        <v>0</v>
      </c>
    </row>
    <row r="73" spans="1:7" ht="15" customHeight="1" x14ac:dyDescent="0.2">
      <c r="A73" s="70"/>
      <c r="B73" s="69"/>
      <c r="C73" s="68"/>
      <c r="D73" s="71"/>
      <c r="E73" s="72" t="s">
        <v>71</v>
      </c>
      <c r="F73" s="103">
        <f>SUM(F65:F72)</f>
        <v>0</v>
      </c>
    </row>
    <row r="74" spans="1:7" ht="14.25" x14ac:dyDescent="0.2">
      <c r="A74" s="171"/>
      <c r="B74" s="172"/>
      <c r="C74" s="172"/>
      <c r="D74" s="172"/>
      <c r="E74" s="172"/>
      <c r="F74" s="173"/>
    </row>
    <row r="75" spans="1:7" s="3" customFormat="1" ht="21.75" customHeight="1" x14ac:dyDescent="0.2">
      <c r="A75" s="188" t="s">
        <v>78</v>
      </c>
      <c r="B75" s="189"/>
      <c r="C75" s="189"/>
      <c r="D75" s="189"/>
      <c r="E75" s="189"/>
      <c r="F75" s="190"/>
    </row>
    <row r="76" spans="1:7" s="3" customFormat="1" ht="21.75" customHeight="1" x14ac:dyDescent="0.2">
      <c r="A76" s="185" t="s">
        <v>46</v>
      </c>
      <c r="B76" s="186"/>
      <c r="C76" s="186"/>
      <c r="D76" s="186"/>
      <c r="E76" s="186"/>
      <c r="F76" s="187"/>
    </row>
    <row r="77" spans="1:7" ht="14.25" x14ac:dyDescent="0.2">
      <c r="A77" s="40" t="s">
        <v>47</v>
      </c>
      <c r="B77" s="14" t="s">
        <v>122</v>
      </c>
      <c r="C77" s="13" t="s">
        <v>48</v>
      </c>
      <c r="D77" s="15" t="s">
        <v>119</v>
      </c>
      <c r="E77" s="16" t="s">
        <v>121</v>
      </c>
      <c r="F77" s="41" t="s">
        <v>120</v>
      </c>
    </row>
    <row r="78" spans="1:7" ht="14.25" x14ac:dyDescent="0.2">
      <c r="A78" s="42" t="s">
        <v>14</v>
      </c>
      <c r="B78" s="111">
        <f>B9</f>
        <v>15</v>
      </c>
      <c r="C78" s="51">
        <f>D26</f>
        <v>16</v>
      </c>
      <c r="D78" s="108">
        <f>B78*C78</f>
        <v>240</v>
      </c>
      <c r="E78" s="109">
        <v>171</v>
      </c>
      <c r="F78" s="104">
        <f>D78-E78</f>
        <v>69</v>
      </c>
    </row>
    <row r="79" spans="1:7" ht="14.25" x14ac:dyDescent="0.2">
      <c r="A79" s="42" t="s">
        <v>20</v>
      </c>
      <c r="B79" s="111">
        <f>B9</f>
        <v>15</v>
      </c>
      <c r="C79" s="51">
        <f>D33</f>
        <v>54</v>
      </c>
      <c r="D79" s="108">
        <f t="shared" ref="D79:D81" si="1">B79*C79</f>
        <v>810</v>
      </c>
      <c r="E79" s="109">
        <v>429</v>
      </c>
      <c r="F79" s="104">
        <f t="shared" ref="F79:F82" si="2">D79-E79</f>
        <v>381</v>
      </c>
      <c r="G79" s="4"/>
    </row>
    <row r="80" spans="1:7" ht="14.25" x14ac:dyDescent="0.2">
      <c r="A80" s="53" t="s">
        <v>22</v>
      </c>
      <c r="B80" s="112">
        <f>B9</f>
        <v>15</v>
      </c>
      <c r="C80" s="54">
        <f>D43</f>
        <v>16</v>
      </c>
      <c r="D80" s="110">
        <f t="shared" si="1"/>
        <v>240</v>
      </c>
      <c r="E80" s="109">
        <v>429</v>
      </c>
      <c r="F80" s="105">
        <f t="shared" si="2"/>
        <v>-189</v>
      </c>
    </row>
    <row r="81" spans="1:6" ht="15" customHeight="1" x14ac:dyDescent="0.2">
      <c r="A81" s="52" t="s">
        <v>49</v>
      </c>
      <c r="B81" s="113">
        <f>B9</f>
        <v>15</v>
      </c>
      <c r="C81" s="56">
        <f>F61</f>
        <v>0</v>
      </c>
      <c r="D81" s="106">
        <f t="shared" si="1"/>
        <v>0</v>
      </c>
      <c r="E81" s="106"/>
      <c r="F81" s="106">
        <f t="shared" si="2"/>
        <v>0</v>
      </c>
    </row>
    <row r="82" spans="1:6" ht="15" customHeight="1" x14ac:dyDescent="0.2">
      <c r="A82" s="52" t="s">
        <v>72</v>
      </c>
      <c r="B82" s="55" t="s">
        <v>74</v>
      </c>
      <c r="C82" s="56" t="s">
        <v>75</v>
      </c>
      <c r="D82" s="106">
        <f>F73</f>
        <v>0</v>
      </c>
      <c r="E82" s="106"/>
      <c r="F82" s="106">
        <f t="shared" si="2"/>
        <v>0</v>
      </c>
    </row>
    <row r="83" spans="1:6" ht="15" customHeight="1" x14ac:dyDescent="0.2">
      <c r="A83" s="80" t="s">
        <v>50</v>
      </c>
      <c r="B83" s="80"/>
      <c r="C83" s="81">
        <f>SUM(C78:C81)</f>
        <v>86</v>
      </c>
      <c r="D83" s="107">
        <f>SUM(D78:D82)</f>
        <v>1290</v>
      </c>
      <c r="E83" s="107">
        <f>SUM(E78:E81)</f>
        <v>1029</v>
      </c>
      <c r="F83" s="107">
        <f>SUM(F78:F82)</f>
        <v>261</v>
      </c>
    </row>
    <row r="84" spans="1:6" ht="15" customHeight="1" x14ac:dyDescent="0.2">
      <c r="A84" s="123"/>
      <c r="B84" s="17"/>
      <c r="C84" s="17"/>
      <c r="D84" s="17"/>
      <c r="E84" s="17"/>
      <c r="F84" s="124"/>
    </row>
    <row r="85" spans="1:6" ht="15" customHeight="1" x14ac:dyDescent="0.2">
      <c r="A85" s="123"/>
      <c r="B85" s="17"/>
      <c r="C85" s="17"/>
      <c r="D85" s="17"/>
      <c r="E85" s="17"/>
      <c r="F85" s="124"/>
    </row>
    <row r="86" spans="1:6" ht="15" customHeight="1" x14ac:dyDescent="0.2">
      <c r="A86" s="174" t="s">
        <v>51</v>
      </c>
      <c r="B86" s="175"/>
      <c r="C86" s="175"/>
      <c r="D86" s="175"/>
      <c r="E86" s="175"/>
      <c r="F86" s="176"/>
    </row>
    <row r="87" spans="1:6" ht="14.25" x14ac:dyDescent="0.2">
      <c r="A87" s="177"/>
      <c r="B87" s="178"/>
      <c r="C87" s="178"/>
      <c r="D87" s="178"/>
      <c r="E87" s="178"/>
      <c r="F87" s="179"/>
    </row>
    <row r="88" spans="1:6" ht="14.25" x14ac:dyDescent="0.2">
      <c r="A88" s="177"/>
      <c r="B88" s="178"/>
      <c r="C88" s="178"/>
      <c r="D88" s="178"/>
      <c r="E88" s="178"/>
      <c r="F88" s="179"/>
    </row>
    <row r="89" spans="1:6" ht="14.25" x14ac:dyDescent="0.2">
      <c r="A89" s="177"/>
      <c r="B89" s="178"/>
      <c r="C89" s="178"/>
      <c r="D89" s="178"/>
      <c r="E89" s="178"/>
      <c r="F89" s="179"/>
    </row>
    <row r="90" spans="1:6" ht="14.25" x14ac:dyDescent="0.2">
      <c r="A90" s="177"/>
      <c r="B90" s="178"/>
      <c r="C90" s="178"/>
      <c r="D90" s="178"/>
      <c r="E90" s="178"/>
      <c r="F90" s="179"/>
    </row>
    <row r="91" spans="1:6" ht="14.25" x14ac:dyDescent="0.2">
      <c r="A91" s="177"/>
      <c r="B91" s="178"/>
      <c r="C91" s="178"/>
      <c r="D91" s="178"/>
      <c r="E91" s="178"/>
      <c r="F91" s="179"/>
    </row>
    <row r="92" spans="1:6" ht="15" customHeight="1" x14ac:dyDescent="0.2">
      <c r="A92" s="177"/>
      <c r="B92" s="178"/>
      <c r="C92" s="178"/>
      <c r="D92" s="178"/>
      <c r="E92" s="178"/>
      <c r="F92" s="179"/>
    </row>
    <row r="93" spans="1:6" ht="15" customHeight="1" x14ac:dyDescent="0.2">
      <c r="A93" s="177"/>
      <c r="B93" s="178"/>
      <c r="C93" s="178"/>
      <c r="D93" s="178"/>
      <c r="E93" s="178"/>
      <c r="F93" s="179"/>
    </row>
    <row r="94" spans="1:6" ht="15" customHeight="1" x14ac:dyDescent="0.2">
      <c r="A94" s="177"/>
      <c r="B94" s="178"/>
      <c r="C94" s="178"/>
      <c r="D94" s="178"/>
      <c r="E94" s="178"/>
      <c r="F94" s="179"/>
    </row>
    <row r="95" spans="1:6" ht="15" customHeight="1" x14ac:dyDescent="0.2">
      <c r="A95" s="177"/>
      <c r="B95" s="178"/>
      <c r="C95" s="178"/>
      <c r="D95" s="178"/>
      <c r="E95" s="178"/>
      <c r="F95" s="179"/>
    </row>
    <row r="96" spans="1:6" ht="15" customHeight="1" x14ac:dyDescent="0.2">
      <c r="A96" s="177"/>
      <c r="B96" s="178"/>
      <c r="C96" s="178"/>
      <c r="D96" s="178"/>
      <c r="E96" s="178"/>
      <c r="F96" s="179"/>
    </row>
    <row r="97" spans="1:6" ht="15" customHeight="1" x14ac:dyDescent="0.2">
      <c r="A97" s="177"/>
      <c r="B97" s="178"/>
      <c r="C97" s="178"/>
      <c r="D97" s="178"/>
      <c r="E97" s="178"/>
      <c r="F97" s="179"/>
    </row>
    <row r="98" spans="1:6" ht="15" customHeight="1" x14ac:dyDescent="0.2">
      <c r="A98" s="177"/>
      <c r="B98" s="178"/>
      <c r="C98" s="178"/>
      <c r="D98" s="178"/>
      <c r="E98" s="178"/>
      <c r="F98" s="179"/>
    </row>
    <row r="99" spans="1:6" ht="15" customHeight="1" x14ac:dyDescent="0.2">
      <c r="A99" s="177"/>
      <c r="B99" s="178"/>
      <c r="C99" s="178"/>
      <c r="D99" s="178"/>
      <c r="E99" s="178"/>
      <c r="F99" s="179"/>
    </row>
    <row r="100" spans="1:6" ht="15" customHeight="1" x14ac:dyDescent="0.2">
      <c r="A100" s="177"/>
      <c r="B100" s="178"/>
      <c r="C100" s="178"/>
      <c r="D100" s="178"/>
      <c r="E100" s="178"/>
      <c r="F100" s="179"/>
    </row>
    <row r="101" spans="1:6" ht="15" customHeight="1" x14ac:dyDescent="0.2">
      <c r="A101" s="177"/>
      <c r="B101" s="178"/>
      <c r="C101" s="178"/>
      <c r="D101" s="178"/>
      <c r="E101" s="178"/>
      <c r="F101" s="179"/>
    </row>
    <row r="102" spans="1:6" ht="15" customHeight="1" x14ac:dyDescent="0.2">
      <c r="A102" s="177"/>
      <c r="B102" s="178"/>
      <c r="C102" s="178"/>
      <c r="D102" s="178"/>
      <c r="E102" s="178"/>
      <c r="F102" s="179"/>
    </row>
    <row r="103" spans="1:6" ht="15" customHeight="1" x14ac:dyDescent="0.2">
      <c r="A103" s="177"/>
      <c r="B103" s="178"/>
      <c r="C103" s="178"/>
      <c r="D103" s="178"/>
      <c r="E103" s="178"/>
      <c r="F103" s="179"/>
    </row>
    <row r="104" spans="1:6" ht="15" customHeight="1" x14ac:dyDescent="0.2">
      <c r="A104" s="177"/>
      <c r="B104" s="178"/>
      <c r="C104" s="178"/>
      <c r="D104" s="178"/>
      <c r="E104" s="178"/>
      <c r="F104" s="179"/>
    </row>
    <row r="105" spans="1:6" ht="15" customHeight="1" x14ac:dyDescent="0.2">
      <c r="A105" s="180"/>
      <c r="B105" s="181"/>
      <c r="C105" s="181"/>
      <c r="D105" s="181"/>
      <c r="E105" s="181"/>
      <c r="F105" s="182"/>
    </row>
  </sheetData>
  <mergeCells count="65">
    <mergeCell ref="A58:E58"/>
    <mergeCell ref="A59:E59"/>
    <mergeCell ref="A35:A42"/>
    <mergeCell ref="B35:C35"/>
    <mergeCell ref="B36:C36"/>
    <mergeCell ref="E36:E42"/>
    <mergeCell ref="A44:F44"/>
    <mergeCell ref="B37:C37"/>
    <mergeCell ref="B38:C38"/>
    <mergeCell ref="B39:C39"/>
    <mergeCell ref="B40:C40"/>
    <mergeCell ref="B43:C43"/>
    <mergeCell ref="A56:F56"/>
    <mergeCell ref="A74:F74"/>
    <mergeCell ref="A86:F105"/>
    <mergeCell ref="A45:B45"/>
    <mergeCell ref="A76:F76"/>
    <mergeCell ref="A75:F75"/>
    <mergeCell ref="D51:F51"/>
    <mergeCell ref="D52:F52"/>
    <mergeCell ref="D53:F53"/>
    <mergeCell ref="D54:F54"/>
    <mergeCell ref="D55:F55"/>
    <mergeCell ref="A57:F57"/>
    <mergeCell ref="D45:F45"/>
    <mergeCell ref="D46:F50"/>
    <mergeCell ref="A62:F62"/>
    <mergeCell ref="A60:E60"/>
    <mergeCell ref="C61:E61"/>
    <mergeCell ref="A1:F1"/>
    <mergeCell ref="A13:F18"/>
    <mergeCell ref="A12:F12"/>
    <mergeCell ref="E21:E26"/>
    <mergeCell ref="B20:C20"/>
    <mergeCell ref="B21:C21"/>
    <mergeCell ref="B22:C22"/>
    <mergeCell ref="B23:C23"/>
    <mergeCell ref="B24:C24"/>
    <mergeCell ref="B25:C25"/>
    <mergeCell ref="B5:F5"/>
    <mergeCell ref="B6:F6"/>
    <mergeCell ref="B26:C26"/>
    <mergeCell ref="D10:E10"/>
    <mergeCell ref="B19:C19"/>
    <mergeCell ref="E28:E33"/>
    <mergeCell ref="B29:C29"/>
    <mergeCell ref="B30:C30"/>
    <mergeCell ref="B31:C31"/>
    <mergeCell ref="B32:C32"/>
    <mergeCell ref="B33:C33"/>
    <mergeCell ref="B4:F4"/>
    <mergeCell ref="A2:F3"/>
    <mergeCell ref="A20:A25"/>
    <mergeCell ref="A11:F11"/>
    <mergeCell ref="E19:F19"/>
    <mergeCell ref="B9:C9"/>
    <mergeCell ref="D9:E9"/>
    <mergeCell ref="B7:C7"/>
    <mergeCell ref="E7:F7"/>
    <mergeCell ref="E8:F8"/>
    <mergeCell ref="B41:C41"/>
    <mergeCell ref="B42:C42"/>
    <mergeCell ref="A27:A32"/>
    <mergeCell ref="B27:C27"/>
    <mergeCell ref="B28:C28"/>
  </mergeCells>
  <pageMargins left="0.25" right="0.25" top="0.75" bottom="0.75" header="0.3" footer="0.3"/>
  <pageSetup paperSize="9" scale="60" fitToHeight="0"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3073" r:id="rId4" name="Check Box 1">
              <controlPr defaultSize="0" autoFill="0" autoLine="0" autoPict="0">
                <anchor moveWithCells="1">
                  <from>
                    <xdr:col>1</xdr:col>
                    <xdr:colOff>523875</xdr:colOff>
                    <xdr:row>44</xdr:row>
                    <xdr:rowOff>219075</xdr:rowOff>
                  </from>
                  <to>
                    <xdr:col>2</xdr:col>
                    <xdr:colOff>66675</xdr:colOff>
                    <xdr:row>46</xdr:row>
                    <xdr:rowOff>19050</xdr:rowOff>
                  </to>
                </anchor>
              </controlPr>
            </control>
          </mc:Choice>
        </mc:AlternateContent>
        <mc:AlternateContent xmlns:mc="http://schemas.openxmlformats.org/markup-compatibility/2006">
          <mc:Choice Requires="x14">
            <control shapeId="3074" r:id="rId5" name="Check Box 2">
              <controlPr defaultSize="0" autoFill="0" autoLine="0" autoPict="0">
                <anchor moveWithCells="1">
                  <from>
                    <xdr:col>1</xdr:col>
                    <xdr:colOff>523875</xdr:colOff>
                    <xdr:row>45</xdr:row>
                    <xdr:rowOff>142875</xdr:rowOff>
                  </from>
                  <to>
                    <xdr:col>2</xdr:col>
                    <xdr:colOff>57150</xdr:colOff>
                    <xdr:row>47</xdr:row>
                    <xdr:rowOff>9525</xdr:rowOff>
                  </to>
                </anchor>
              </controlPr>
            </control>
          </mc:Choice>
        </mc:AlternateContent>
        <mc:AlternateContent xmlns:mc="http://schemas.openxmlformats.org/markup-compatibility/2006">
          <mc:Choice Requires="x14">
            <control shapeId="3075" r:id="rId6" name="Check Box 3">
              <controlPr defaultSize="0" autoFill="0" autoLine="0" autoPict="0">
                <anchor moveWithCells="1">
                  <from>
                    <xdr:col>1</xdr:col>
                    <xdr:colOff>523875</xdr:colOff>
                    <xdr:row>47</xdr:row>
                    <xdr:rowOff>171450</xdr:rowOff>
                  </from>
                  <to>
                    <xdr:col>2</xdr:col>
                    <xdr:colOff>66675</xdr:colOff>
                    <xdr:row>49</xdr:row>
                    <xdr:rowOff>28575</xdr:rowOff>
                  </to>
                </anchor>
              </controlPr>
            </control>
          </mc:Choice>
        </mc:AlternateContent>
        <mc:AlternateContent xmlns:mc="http://schemas.openxmlformats.org/markup-compatibility/2006">
          <mc:Choice Requires="x14">
            <control shapeId="3076" r:id="rId7" name="Check Box 4">
              <controlPr defaultSize="0" autoFill="0" autoLine="0" autoPict="0">
                <anchor moveWithCells="1">
                  <from>
                    <xdr:col>1</xdr:col>
                    <xdr:colOff>523875</xdr:colOff>
                    <xdr:row>48</xdr:row>
                    <xdr:rowOff>152400</xdr:rowOff>
                  </from>
                  <to>
                    <xdr:col>2</xdr:col>
                    <xdr:colOff>57150</xdr:colOff>
                    <xdr:row>50</xdr:row>
                    <xdr:rowOff>19050</xdr:rowOff>
                  </to>
                </anchor>
              </controlPr>
            </control>
          </mc:Choice>
        </mc:AlternateContent>
        <mc:AlternateContent xmlns:mc="http://schemas.openxmlformats.org/markup-compatibility/2006">
          <mc:Choice Requires="x14">
            <control shapeId="3077" r:id="rId8" name="Check Box 5">
              <controlPr defaultSize="0" autoFill="0" autoLine="0" autoPict="0">
                <anchor moveWithCells="1">
                  <from>
                    <xdr:col>1</xdr:col>
                    <xdr:colOff>523875</xdr:colOff>
                    <xdr:row>49</xdr:row>
                    <xdr:rowOff>171450</xdr:rowOff>
                  </from>
                  <to>
                    <xdr:col>2</xdr:col>
                    <xdr:colOff>57150</xdr:colOff>
                    <xdr:row>51</xdr:row>
                    <xdr:rowOff>28575</xdr:rowOff>
                  </to>
                </anchor>
              </controlPr>
            </control>
          </mc:Choice>
        </mc:AlternateContent>
        <mc:AlternateContent xmlns:mc="http://schemas.openxmlformats.org/markup-compatibility/2006">
          <mc:Choice Requires="x14">
            <control shapeId="3078" r:id="rId9" name="Check Box 6">
              <controlPr defaultSize="0" autoFill="0" autoLine="0" autoPict="0">
                <anchor moveWithCells="1">
                  <from>
                    <xdr:col>1</xdr:col>
                    <xdr:colOff>523875</xdr:colOff>
                    <xdr:row>50</xdr:row>
                    <xdr:rowOff>171450</xdr:rowOff>
                  </from>
                  <to>
                    <xdr:col>2</xdr:col>
                    <xdr:colOff>57150</xdr:colOff>
                    <xdr:row>52</xdr:row>
                    <xdr:rowOff>28575</xdr:rowOff>
                  </to>
                </anchor>
              </controlPr>
            </control>
          </mc:Choice>
        </mc:AlternateContent>
        <mc:AlternateContent xmlns:mc="http://schemas.openxmlformats.org/markup-compatibility/2006">
          <mc:Choice Requires="x14">
            <control shapeId="3079" r:id="rId10" name="Check Box 7">
              <controlPr defaultSize="0" autoFill="0" autoLine="0" autoPict="0">
                <anchor moveWithCells="1">
                  <from>
                    <xdr:col>1</xdr:col>
                    <xdr:colOff>523875</xdr:colOff>
                    <xdr:row>51</xdr:row>
                    <xdr:rowOff>171450</xdr:rowOff>
                  </from>
                  <to>
                    <xdr:col>2</xdr:col>
                    <xdr:colOff>57150</xdr:colOff>
                    <xdr:row>53</xdr:row>
                    <xdr:rowOff>28575</xdr:rowOff>
                  </to>
                </anchor>
              </controlPr>
            </control>
          </mc:Choice>
        </mc:AlternateContent>
        <mc:AlternateContent xmlns:mc="http://schemas.openxmlformats.org/markup-compatibility/2006">
          <mc:Choice Requires="x14">
            <control shapeId="3080" r:id="rId11" name="Check Box 8">
              <controlPr defaultSize="0" autoFill="0" autoLine="0" autoPict="0">
                <anchor moveWithCells="1">
                  <from>
                    <xdr:col>1</xdr:col>
                    <xdr:colOff>533400</xdr:colOff>
                    <xdr:row>52</xdr:row>
                    <xdr:rowOff>161925</xdr:rowOff>
                  </from>
                  <to>
                    <xdr:col>2</xdr:col>
                    <xdr:colOff>57150</xdr:colOff>
                    <xdr:row>54</xdr:row>
                    <xdr:rowOff>19050</xdr:rowOff>
                  </to>
                </anchor>
              </controlPr>
            </control>
          </mc:Choice>
        </mc:AlternateContent>
        <mc:AlternateContent xmlns:mc="http://schemas.openxmlformats.org/markup-compatibility/2006">
          <mc:Choice Requires="x14">
            <control shapeId="3081" r:id="rId12" name="Check Box 9">
              <controlPr defaultSize="0" autoFill="0" autoLine="0" autoPict="0">
                <anchor moveWithCells="1">
                  <from>
                    <xdr:col>1</xdr:col>
                    <xdr:colOff>523875</xdr:colOff>
                    <xdr:row>53</xdr:row>
                    <xdr:rowOff>152400</xdr:rowOff>
                  </from>
                  <to>
                    <xdr:col>2</xdr:col>
                    <xdr:colOff>57150</xdr:colOff>
                    <xdr:row>55</xdr:row>
                    <xdr:rowOff>19050</xdr:rowOff>
                  </to>
                </anchor>
              </controlPr>
            </control>
          </mc:Choice>
        </mc:AlternateContent>
        <mc:AlternateContent xmlns:mc="http://schemas.openxmlformats.org/markup-compatibility/2006">
          <mc:Choice Requires="x14">
            <control shapeId="3082" r:id="rId13" name="Check Box 10">
              <controlPr defaultSize="0" autoFill="0" autoLine="0" autoPict="0">
                <anchor moveWithCells="1">
                  <from>
                    <xdr:col>1</xdr:col>
                    <xdr:colOff>523875</xdr:colOff>
                    <xdr:row>46</xdr:row>
                    <xdr:rowOff>161925</xdr:rowOff>
                  </from>
                  <to>
                    <xdr:col>2</xdr:col>
                    <xdr:colOff>66675</xdr:colOff>
                    <xdr:row>48</xdr:row>
                    <xdr:rowOff>19050</xdr:rowOff>
                  </to>
                </anchor>
              </controlPr>
            </control>
          </mc:Choice>
        </mc:AlternateContent>
        <mc:AlternateContent xmlns:mc="http://schemas.openxmlformats.org/markup-compatibility/2006">
          <mc:Choice Requires="x14">
            <control shapeId="3083" r:id="rId14" name="Check Box 11">
              <controlPr defaultSize="0" autoFill="0" autoLine="0" autoPict="0">
                <anchor moveWithCells="1">
                  <from>
                    <xdr:col>1</xdr:col>
                    <xdr:colOff>809625</xdr:colOff>
                    <xdr:row>7</xdr:row>
                    <xdr:rowOff>9525</xdr:rowOff>
                  </from>
                  <to>
                    <xdr:col>1</xdr:col>
                    <xdr:colOff>971550</xdr:colOff>
                    <xdr:row>8</xdr:row>
                    <xdr:rowOff>9525</xdr:rowOff>
                  </to>
                </anchor>
              </controlPr>
            </control>
          </mc:Choice>
        </mc:AlternateContent>
        <mc:AlternateContent xmlns:mc="http://schemas.openxmlformats.org/markup-compatibility/2006">
          <mc:Choice Requires="x14">
            <control shapeId="3084" r:id="rId15" name="Check Box 12">
              <controlPr defaultSize="0" autoFill="0" autoLine="0" autoPict="0">
                <anchor moveWithCells="1">
                  <from>
                    <xdr:col>2</xdr:col>
                    <xdr:colOff>857250</xdr:colOff>
                    <xdr:row>6</xdr:row>
                    <xdr:rowOff>171450</xdr:rowOff>
                  </from>
                  <to>
                    <xdr:col>2</xdr:col>
                    <xdr:colOff>1552575</xdr:colOff>
                    <xdr:row>8</xdr:row>
                    <xdr:rowOff>28575</xdr:rowOff>
                  </to>
                </anchor>
              </controlPr>
            </control>
          </mc:Choice>
        </mc:AlternateContent>
        <mc:AlternateContent xmlns:mc="http://schemas.openxmlformats.org/markup-compatibility/2006">
          <mc:Choice Requires="x14">
            <control shapeId="3085" r:id="rId16" name="Check Box 13">
              <controlPr defaultSize="0" autoFill="0" autoLine="0" autoPict="0">
                <anchor moveWithCells="1">
                  <from>
                    <xdr:col>1</xdr:col>
                    <xdr:colOff>57150</xdr:colOff>
                    <xdr:row>8</xdr:row>
                    <xdr:rowOff>171450</xdr:rowOff>
                  </from>
                  <to>
                    <xdr:col>1</xdr:col>
                    <xdr:colOff>219075</xdr:colOff>
                    <xdr:row>9</xdr:row>
                    <xdr:rowOff>171450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pageSetUpPr fitToPage="1"/>
  </sheetPr>
  <dimension ref="A1:K61"/>
  <sheetViews>
    <sheetView zoomScale="115" zoomScaleNormal="115" workbookViewId="0">
      <selection activeCell="D15" sqref="D15"/>
    </sheetView>
  </sheetViews>
  <sheetFormatPr defaultColWidth="8.85546875" defaultRowHeight="15" x14ac:dyDescent="0.25"/>
  <cols>
    <col min="1" max="1" width="6.28515625" style="90" customWidth="1"/>
    <col min="2" max="2" width="43.7109375" style="61" customWidth="1"/>
    <col min="3" max="3" width="25.7109375" style="61" customWidth="1"/>
    <col min="4" max="4" width="41.85546875" style="61" customWidth="1"/>
    <col min="5" max="5" width="34.28515625" style="61" customWidth="1"/>
    <col min="6" max="6" width="9.85546875" style="61" customWidth="1"/>
    <col min="7" max="7" width="10.7109375" style="61" customWidth="1"/>
    <col min="8" max="8" width="16.28515625" style="94" customWidth="1"/>
    <col min="9" max="9" width="16.85546875" style="61" customWidth="1"/>
    <col min="10" max="16384" width="8.85546875" style="61"/>
  </cols>
  <sheetData>
    <row r="1" spans="1:11" ht="22.9" customHeight="1" x14ac:dyDescent="0.25">
      <c r="A1" s="116" t="s">
        <v>82</v>
      </c>
      <c r="B1" s="88" t="s">
        <v>79</v>
      </c>
      <c r="C1" s="87" t="s">
        <v>86</v>
      </c>
      <c r="D1" s="88" t="s">
        <v>80</v>
      </c>
      <c r="E1" s="117" t="s">
        <v>137</v>
      </c>
      <c r="F1" s="88" t="s">
        <v>81</v>
      </c>
      <c r="G1" s="119" t="s">
        <v>140</v>
      </c>
      <c r="H1" s="93" t="s">
        <v>139</v>
      </c>
      <c r="I1" s="59"/>
      <c r="J1" s="59"/>
      <c r="K1" s="60"/>
    </row>
    <row r="2" spans="1:11" ht="16.899999999999999" customHeight="1" x14ac:dyDescent="0.25">
      <c r="A2" s="89">
        <v>1</v>
      </c>
      <c r="B2" s="91" t="s">
        <v>125</v>
      </c>
      <c r="C2" s="85" t="s">
        <v>133</v>
      </c>
      <c r="D2" s="85" t="s">
        <v>129</v>
      </c>
      <c r="E2" s="92" t="s">
        <v>138</v>
      </c>
      <c r="F2" s="86">
        <v>1</v>
      </c>
      <c r="G2" s="86">
        <v>10.65</v>
      </c>
      <c r="H2" s="118">
        <f>F2*G2</f>
        <v>10.65</v>
      </c>
      <c r="I2" s="62"/>
      <c r="J2" s="62"/>
      <c r="K2" s="60"/>
    </row>
    <row r="3" spans="1:11" ht="16.899999999999999" customHeight="1" x14ac:dyDescent="0.25">
      <c r="A3" s="89">
        <v>2</v>
      </c>
      <c r="B3" s="86" t="s">
        <v>126</v>
      </c>
      <c r="C3" s="85" t="s">
        <v>135</v>
      </c>
      <c r="D3" s="85" t="s">
        <v>132</v>
      </c>
      <c r="E3" s="92" t="s">
        <v>138</v>
      </c>
      <c r="F3" s="86">
        <v>1</v>
      </c>
      <c r="G3" s="86">
        <v>6.93</v>
      </c>
      <c r="H3" s="118">
        <f t="shared" ref="H3:H5" si="0">F3*G3</f>
        <v>6.93</v>
      </c>
      <c r="I3" s="62"/>
      <c r="J3" s="62"/>
      <c r="K3" s="60"/>
    </row>
    <row r="4" spans="1:11" ht="16.899999999999999" customHeight="1" x14ac:dyDescent="0.25">
      <c r="A4" s="89">
        <v>3</v>
      </c>
      <c r="B4" s="86" t="s">
        <v>127</v>
      </c>
      <c r="C4" s="85" t="s">
        <v>134</v>
      </c>
      <c r="D4" s="85" t="s">
        <v>130</v>
      </c>
      <c r="E4" s="92" t="s">
        <v>138</v>
      </c>
      <c r="F4" s="86">
        <v>1</v>
      </c>
      <c r="G4" s="86">
        <v>9.33</v>
      </c>
      <c r="H4" s="118">
        <f t="shared" si="0"/>
        <v>9.33</v>
      </c>
      <c r="I4" s="62"/>
      <c r="J4" s="62"/>
      <c r="K4" s="60"/>
    </row>
    <row r="5" spans="1:11" ht="16.899999999999999" customHeight="1" x14ac:dyDescent="0.25">
      <c r="A5" s="89">
        <v>4</v>
      </c>
      <c r="B5" s="91" t="s">
        <v>128</v>
      </c>
      <c r="C5" s="85" t="s">
        <v>136</v>
      </c>
      <c r="D5" s="85" t="s">
        <v>131</v>
      </c>
      <c r="E5" s="92" t="s">
        <v>138</v>
      </c>
      <c r="F5" s="86">
        <v>1</v>
      </c>
      <c r="G5" s="86">
        <v>19.690000000000001</v>
      </c>
      <c r="H5" s="118">
        <f t="shared" si="0"/>
        <v>19.690000000000001</v>
      </c>
      <c r="I5" s="62"/>
      <c r="J5" s="62"/>
      <c r="K5" s="60"/>
    </row>
    <row r="6" spans="1:11" ht="16.899999999999999" customHeight="1" x14ac:dyDescent="0.25">
      <c r="A6" s="89">
        <v>5</v>
      </c>
      <c r="B6" s="120" t="s">
        <v>142</v>
      </c>
      <c r="C6" s="121" t="s">
        <v>141</v>
      </c>
      <c r="D6" s="85" t="s">
        <v>143</v>
      </c>
      <c r="E6" s="92" t="s">
        <v>138</v>
      </c>
      <c r="F6" s="86">
        <v>1</v>
      </c>
      <c r="G6" s="121">
        <v>4.25</v>
      </c>
      <c r="H6" s="122">
        <f>F6*G6</f>
        <v>4.25</v>
      </c>
    </row>
    <row r="8" spans="1:11" ht="15.4" customHeight="1" x14ac:dyDescent="0.25">
      <c r="D8" s="223" t="s">
        <v>87</v>
      </c>
      <c r="E8" s="223"/>
      <c r="F8" s="223"/>
      <c r="G8" s="223"/>
      <c r="H8" s="222">
        <f>SUM(H2:H6)</f>
        <v>50.849999999999994</v>
      </c>
    </row>
    <row r="9" spans="1:11" ht="14.65" customHeight="1" x14ac:dyDescent="0.25">
      <c r="D9" s="223"/>
      <c r="E9" s="223"/>
      <c r="F9" s="223"/>
      <c r="G9" s="223"/>
      <c r="H9" s="222"/>
    </row>
    <row r="11" spans="1:11" x14ac:dyDescent="0.25">
      <c r="B11" s="87"/>
      <c r="C11" s="87"/>
      <c r="E11" s="87"/>
    </row>
    <row r="12" spans="1:11" x14ac:dyDescent="0.25">
      <c r="B12" s="86"/>
    </row>
    <row r="13" spans="1:11" ht="15.75" thickBot="1" x14ac:dyDescent="0.3">
      <c r="B13" s="86"/>
    </row>
    <row r="14" spans="1:11" ht="15.75" thickBot="1" x14ac:dyDescent="0.3">
      <c r="B14" s="82" t="s">
        <v>83</v>
      </c>
    </row>
    <row r="15" spans="1:11" ht="15.75" thickBot="1" x14ac:dyDescent="0.3">
      <c r="B15" s="83" t="s">
        <v>84</v>
      </c>
    </row>
    <row r="16" spans="1:11" ht="15.75" thickBot="1" x14ac:dyDescent="0.3">
      <c r="B16" s="84" t="s">
        <v>85</v>
      </c>
    </row>
    <row r="17" spans="2:7" x14ac:dyDescent="0.25">
      <c r="B17" s="86"/>
    </row>
    <row r="18" spans="2:7" x14ac:dyDescent="0.25">
      <c r="B18" s="87"/>
      <c r="C18" s="87"/>
      <c r="D18" s="87"/>
      <c r="E18" s="87"/>
      <c r="F18" s="87"/>
      <c r="G18" s="87"/>
    </row>
    <row r="19" spans="2:7" x14ac:dyDescent="0.25">
      <c r="B19" s="86"/>
      <c r="C19" s="86"/>
      <c r="E19" s="86"/>
      <c r="F19" s="86"/>
      <c r="G19" s="86"/>
    </row>
    <row r="20" spans="2:7" x14ac:dyDescent="0.25">
      <c r="B20" s="86"/>
      <c r="C20" s="86"/>
      <c r="E20" s="86"/>
      <c r="F20" s="86"/>
      <c r="G20" s="86"/>
    </row>
    <row r="21" spans="2:7" x14ac:dyDescent="0.25">
      <c r="B21" s="86"/>
      <c r="C21" s="86"/>
      <c r="E21" s="86"/>
      <c r="F21" s="86"/>
      <c r="G21" s="86"/>
    </row>
    <row r="22" spans="2:7" x14ac:dyDescent="0.25">
      <c r="B22" s="86"/>
      <c r="C22" s="86"/>
      <c r="D22"/>
      <c r="E22" s="86"/>
      <c r="F22" s="86"/>
      <c r="G22" s="86"/>
    </row>
    <row r="23" spans="2:7" x14ac:dyDescent="0.25">
      <c r="B23" s="86"/>
      <c r="C23" s="86"/>
      <c r="D23"/>
      <c r="E23" s="86"/>
      <c r="F23" s="86"/>
      <c r="G23" s="86"/>
    </row>
    <row r="24" spans="2:7" x14ac:dyDescent="0.25">
      <c r="B24" s="86"/>
      <c r="C24" s="86"/>
      <c r="D24" s="92"/>
      <c r="E24" s="86"/>
      <c r="F24" s="86"/>
      <c r="G24" s="86"/>
    </row>
    <row r="25" spans="2:7" x14ac:dyDescent="0.25">
      <c r="B25" s="86"/>
      <c r="C25" s="86"/>
      <c r="D25"/>
      <c r="E25" s="86"/>
      <c r="F25" s="86"/>
      <c r="G25" s="86"/>
    </row>
    <row r="26" spans="2:7" x14ac:dyDescent="0.25">
      <c r="B26" s="86"/>
      <c r="C26" s="86"/>
      <c r="D26"/>
      <c r="E26" s="86"/>
      <c r="F26" s="86"/>
      <c r="G26" s="86"/>
    </row>
    <row r="27" spans="2:7" x14ac:dyDescent="0.25">
      <c r="B27" s="86"/>
      <c r="C27" s="86"/>
      <c r="D27" s="92"/>
      <c r="E27" s="86"/>
      <c r="F27" s="86"/>
      <c r="G27" s="86"/>
    </row>
    <row r="28" spans="2:7" x14ac:dyDescent="0.25">
      <c r="B28" s="86"/>
      <c r="C28" s="86"/>
      <c r="D28"/>
      <c r="E28" s="86"/>
      <c r="F28" s="86"/>
      <c r="G28" s="86"/>
    </row>
    <row r="29" spans="2:7" x14ac:dyDescent="0.25">
      <c r="B29" s="86"/>
      <c r="C29" s="86"/>
      <c r="D29"/>
      <c r="E29" s="86"/>
      <c r="F29" s="86"/>
      <c r="G29" s="86"/>
    </row>
    <row r="30" spans="2:7" x14ac:dyDescent="0.25">
      <c r="B30" s="86"/>
      <c r="C30" s="86"/>
      <c r="E30" s="86"/>
      <c r="F30" s="86"/>
      <c r="G30" s="86"/>
    </row>
    <row r="31" spans="2:7" x14ac:dyDescent="0.25">
      <c r="B31" s="86"/>
      <c r="C31" s="86"/>
      <c r="E31" s="86"/>
      <c r="F31" s="86"/>
      <c r="G31" s="86"/>
    </row>
    <row r="32" spans="2:7" x14ac:dyDescent="0.25">
      <c r="B32" s="86"/>
      <c r="C32" s="86"/>
      <c r="E32" s="86"/>
      <c r="F32" s="86"/>
      <c r="G32" s="86"/>
    </row>
    <row r="33" spans="1:7" x14ac:dyDescent="0.25">
      <c r="B33" s="86"/>
      <c r="C33" s="86"/>
      <c r="E33" s="86"/>
      <c r="F33" s="86"/>
      <c r="G33" s="86"/>
    </row>
    <row r="34" spans="1:7" x14ac:dyDescent="0.25">
      <c r="A34" s="90">
        <v>1</v>
      </c>
      <c r="E34" s="86"/>
      <c r="F34" s="86"/>
      <c r="G34" s="86"/>
    </row>
    <row r="35" spans="1:7" x14ac:dyDescent="0.25">
      <c r="A35" s="90">
        <v>2</v>
      </c>
      <c r="E35" s="86"/>
      <c r="F35" s="86"/>
      <c r="G35" s="86"/>
    </row>
    <row r="36" spans="1:7" x14ac:dyDescent="0.25">
      <c r="A36" s="90">
        <v>3</v>
      </c>
      <c r="E36" s="86"/>
      <c r="F36" s="86"/>
      <c r="G36" s="86"/>
    </row>
    <row r="37" spans="1:7" x14ac:dyDescent="0.25">
      <c r="A37" s="90">
        <v>4</v>
      </c>
      <c r="E37" s="86"/>
      <c r="F37" s="86"/>
      <c r="G37" s="86"/>
    </row>
    <row r="38" spans="1:7" x14ac:dyDescent="0.25">
      <c r="A38" s="90">
        <v>5</v>
      </c>
      <c r="E38" s="86"/>
      <c r="F38" s="86"/>
      <c r="G38" s="86"/>
    </row>
    <row r="39" spans="1:7" x14ac:dyDescent="0.25">
      <c r="A39" s="90">
        <v>6</v>
      </c>
      <c r="E39" s="86"/>
      <c r="F39" s="86"/>
      <c r="G39" s="86"/>
    </row>
    <row r="40" spans="1:7" x14ac:dyDescent="0.25">
      <c r="A40" s="90">
        <v>7</v>
      </c>
      <c r="E40" s="86"/>
      <c r="F40" s="86"/>
      <c r="G40" s="86"/>
    </row>
    <row r="41" spans="1:7" x14ac:dyDescent="0.25">
      <c r="A41" s="90">
        <v>8</v>
      </c>
      <c r="E41" s="86"/>
      <c r="F41" s="86"/>
      <c r="G41" s="86"/>
    </row>
    <row r="42" spans="1:7" x14ac:dyDescent="0.25">
      <c r="A42" s="90">
        <v>9</v>
      </c>
      <c r="E42" s="86"/>
      <c r="F42" s="86"/>
      <c r="G42" s="86"/>
    </row>
    <row r="43" spans="1:7" x14ac:dyDescent="0.25">
      <c r="A43" s="90">
        <v>10</v>
      </c>
    </row>
    <row r="44" spans="1:7" x14ac:dyDescent="0.25">
      <c r="A44" s="90">
        <v>11</v>
      </c>
    </row>
    <row r="45" spans="1:7" x14ac:dyDescent="0.25">
      <c r="A45" s="90">
        <v>12</v>
      </c>
    </row>
    <row r="46" spans="1:7" x14ac:dyDescent="0.25">
      <c r="A46" s="90">
        <v>13</v>
      </c>
    </row>
    <row r="47" spans="1:7" x14ac:dyDescent="0.25">
      <c r="A47" s="90">
        <v>14</v>
      </c>
    </row>
    <row r="48" spans="1:7" x14ac:dyDescent="0.25">
      <c r="A48" s="90">
        <v>15</v>
      </c>
    </row>
    <row r="49" spans="1:1" x14ac:dyDescent="0.25">
      <c r="A49" s="90">
        <v>16</v>
      </c>
    </row>
    <row r="50" spans="1:1" x14ac:dyDescent="0.25">
      <c r="A50" s="90">
        <v>17</v>
      </c>
    </row>
    <row r="51" spans="1:1" x14ac:dyDescent="0.25">
      <c r="A51" s="90">
        <v>18</v>
      </c>
    </row>
    <row r="52" spans="1:1" x14ac:dyDescent="0.25">
      <c r="A52" s="90">
        <v>19</v>
      </c>
    </row>
    <row r="53" spans="1:1" x14ac:dyDescent="0.25">
      <c r="A53" s="90">
        <v>20</v>
      </c>
    </row>
    <row r="54" spans="1:1" x14ac:dyDescent="0.25">
      <c r="A54" s="90">
        <v>21</v>
      </c>
    </row>
    <row r="55" spans="1:1" x14ac:dyDescent="0.25">
      <c r="A55" s="90">
        <v>22</v>
      </c>
    </row>
    <row r="56" spans="1:1" x14ac:dyDescent="0.25">
      <c r="A56" s="90">
        <v>23</v>
      </c>
    </row>
    <row r="57" spans="1:1" x14ac:dyDescent="0.25">
      <c r="A57" s="90">
        <v>24</v>
      </c>
    </row>
    <row r="58" spans="1:1" x14ac:dyDescent="0.25">
      <c r="A58" s="90">
        <v>25</v>
      </c>
    </row>
    <row r="59" spans="1:1" x14ac:dyDescent="0.25">
      <c r="A59" s="90">
        <v>26</v>
      </c>
    </row>
    <row r="60" spans="1:1" x14ac:dyDescent="0.25">
      <c r="A60" s="90">
        <v>27</v>
      </c>
    </row>
    <row r="61" spans="1:1" x14ac:dyDescent="0.25">
      <c r="A61" s="90">
        <v>28</v>
      </c>
    </row>
  </sheetData>
  <mergeCells count="2">
    <mergeCell ref="H8:H9"/>
    <mergeCell ref="D8:G9"/>
  </mergeCells>
  <pageMargins left="0.25" right="0.25" top="0.75" bottom="0.75" header="0.3" footer="0.3"/>
  <pageSetup paperSize="9" scale="73" fitToHeight="0" orientation="landscape"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
  <sheetViews>
    <sheetView workbookViewId="0">
      <selection activeCell="G16" sqref="G16"/>
    </sheetView>
  </sheetViews>
  <sheetFormatPr defaultColWidth="9.140625" defaultRowHeight="15" customHeight="1" x14ac:dyDescent="0.2"/>
  <cols>
    <col min="1" max="1" width="37.42578125" style="1" customWidth="1"/>
    <col min="2" max="2" width="17.85546875" style="1" customWidth="1"/>
    <col min="3" max="3" width="35.28515625" style="1" customWidth="1"/>
    <col min="4" max="4" width="19.85546875" style="1" customWidth="1"/>
    <col min="5" max="5" width="15.42578125" style="1" customWidth="1"/>
    <col min="6" max="6" width="20" style="1" customWidth="1"/>
    <col min="7" max="16384" width="9.140625" style="1"/>
  </cols>
  <sheetData>
    <row r="1" spans="1:9" ht="14.25" x14ac:dyDescent="0.2">
      <c r="A1" s="224" t="s">
        <v>124</v>
      </c>
      <c r="B1" s="224"/>
      <c r="C1" s="224"/>
      <c r="D1" s="224"/>
      <c r="E1" s="224"/>
      <c r="F1" s="224"/>
    </row>
    <row r="2" spans="1:9" ht="14.25" x14ac:dyDescent="0.2">
      <c r="A2" s="115"/>
      <c r="B2" s="115"/>
      <c r="C2" s="115"/>
      <c r="D2" s="115"/>
      <c r="E2" s="115"/>
      <c r="F2" s="115"/>
      <c r="I2" s="1">
        <v>2</v>
      </c>
    </row>
    <row r="3" spans="1:9" ht="13.15" customHeight="1" x14ac:dyDescent="0.2">
      <c r="A3" s="115"/>
      <c r="B3" s="115"/>
      <c r="C3" s="115"/>
      <c r="D3" s="115"/>
      <c r="E3" s="115"/>
      <c r="F3" s="115"/>
    </row>
  </sheetData>
  <mergeCells count="1">
    <mergeCell ref="A1:F1"/>
  </mergeCells>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Altimeter</vt:lpstr>
      <vt:lpstr>Component List</vt:lpstr>
      <vt:lpstr>Additional Project Information</vt:lpstr>
      <vt:lpstr>Altimeter!Print_Area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HP i7</cp:lastModifiedBy>
  <cp:revision/>
  <cp:lastPrinted>2025-11-16T20:40:58Z</cp:lastPrinted>
  <dcterms:created xsi:type="dcterms:W3CDTF">2025-07-30T18:47:13Z</dcterms:created>
  <dcterms:modified xsi:type="dcterms:W3CDTF">2025-11-16T20:42:58Z</dcterms:modified>
  <cp:category/>
  <cp:contentStatus/>
</cp:coreProperties>
</file>